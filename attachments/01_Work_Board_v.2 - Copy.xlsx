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B66AE9B0-7835-4F8C-B57E-17487FDAB2B6}" xr6:coauthVersionLast="47" xr6:coauthVersionMax="47" xr10:uidLastSave="{00000000-0000-0000-0000-000000000000}"/>
  <bookViews>
    <workbookView xWindow="0" yWindow="0" windowWidth="0" windowHeight="0" firstSheet="5" xr2:uid="{00000000-000D-0000-FFFF-FFFF00000000}"/>
  </bookViews>
  <sheets>
    <sheet name="📋 Dashboard" sheetId="4" r:id="rId1"/>
    <sheet name="📅 Daily To-Do" sheetId="17" r:id="rId2"/>
    <sheet name="To do personal" sheetId="18" r:id="rId3"/>
    <sheet name="📚 Bookkeeping" sheetId="10" r:id="rId4"/>
    <sheet name="🌐 Metka BAS – Non-Group" sheetId="6" r:id="rId5"/>
    <sheet name="📊 BAS-IAS Tracker" sheetId="7" r:id="rId6"/>
    <sheet name="📋Management Reports" sheetId="8" r:id="rId7"/>
    <sheet name="💳 Supplier Payment Run" sheetId="9" r:id="rId8"/>
    <sheet name="🏦 Payroll Tax" sheetId="11" r:id="rId9"/>
    <sheet name="📤 STP &amp; Payroll" sheetId="12" r:id="rId10"/>
    <sheet name="🗂 Client Master List" sheetId="13" state="hidden" r:id="rId11"/>
    <sheet name="📁 Folder Structure" sheetId="16" state="hidden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4" hidden="1">'🌐 Metka BAS – Non-Group'!$A$3:$AE$24</definedName>
    <definedName name="_xlnm._FilterDatabase" localSheetId="5" hidden="1">'📊 BAS-IAS Tracker'!$B$2:$AF$28</definedName>
    <definedName name="Z_92268EB0_F2CF_4A6B_9BE7_5D77FA909AF8_.wvu.FilterData" localSheetId="5" hidden="1">'📊 BAS-IAS Tracker'!$B$2:$AF$28</definedName>
  </definedNames>
  <calcPr calcId="191028"/>
  <customWorkbookViews>
    <customWorkbookView name="Group by Due date - APRIL" guid="{92268EB0-F2CF-4A6B-9BE7-5D77FA909AF8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7" l="1"/>
  <c r="R16" i="17" s="1"/>
  <c r="M16" i="17"/>
  <c r="F17" i="17"/>
  <c r="R17" i="17" s="1"/>
  <c r="M17" i="17"/>
  <c r="F18" i="17"/>
  <c r="R18" i="17" s="1"/>
  <c r="M18" i="17"/>
  <c r="R21" i="17"/>
  <c r="R22" i="17"/>
  <c r="R23" i="17"/>
  <c r="R24" i="17"/>
  <c r="M21" i="17"/>
  <c r="M22" i="17"/>
  <c r="M23" i="17"/>
  <c r="M24" i="17"/>
  <c r="I44" i="7"/>
  <c r="J44" i="7"/>
  <c r="K44" i="7"/>
  <c r="L44" i="7"/>
  <c r="M44" i="7"/>
  <c r="N44" i="7"/>
  <c r="O44" i="7"/>
  <c r="J42" i="7"/>
  <c r="I41" i="7"/>
  <c r="I43" i="7"/>
  <c r="J43" i="7"/>
  <c r="K43" i="7"/>
  <c r="L43" i="7"/>
  <c r="M43" i="7"/>
  <c r="N43" i="7"/>
  <c r="O43" i="7"/>
  <c r="I42" i="7"/>
  <c r="K42" i="7"/>
  <c r="L42" i="7"/>
  <c r="M42" i="7"/>
  <c r="N42" i="7"/>
  <c r="O42" i="7"/>
  <c r="J41" i="7"/>
  <c r="K41" i="7"/>
  <c r="L41" i="7"/>
  <c r="M41" i="7"/>
  <c r="N41" i="7"/>
  <c r="O41" i="7"/>
  <c r="I40" i="7"/>
  <c r="J40" i="7"/>
  <c r="K40" i="7"/>
  <c r="L40" i="7"/>
  <c r="M40" i="7"/>
  <c r="N40" i="7"/>
  <c r="O40" i="7"/>
  <c r="E4" i="18"/>
  <c r="C4" i="18"/>
  <c r="E5" i="7"/>
  <c r="B4" i="7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4" i="6"/>
  <c r="B4" i="6"/>
  <c r="L30" i="6"/>
  <c r="K30" i="6" s="1"/>
  <c r="L29" i="6"/>
  <c r="K29" i="6" s="1"/>
  <c r="L28" i="6"/>
  <c r="K28" i="6" s="1"/>
  <c r="L27" i="6"/>
  <c r="K27" i="6" s="1"/>
  <c r="L26" i="6"/>
  <c r="K26" i="6" s="1"/>
  <c r="L25" i="6"/>
  <c r="K25" i="6" s="1"/>
  <c r="L24" i="6"/>
  <c r="K24" i="6" s="1"/>
  <c r="L23" i="6"/>
  <c r="K23" i="6" s="1"/>
  <c r="L22" i="6"/>
  <c r="K22" i="6" s="1"/>
  <c r="L21" i="6"/>
  <c r="K21" i="6" s="1"/>
  <c r="L20" i="6"/>
  <c r="K20" i="6" s="1"/>
  <c r="L19" i="6"/>
  <c r="K19" i="6" s="1"/>
  <c r="L18" i="6"/>
  <c r="K18" i="6" s="1"/>
  <c r="L17" i="6"/>
  <c r="K17" i="6" s="1"/>
  <c r="L16" i="6"/>
  <c r="K16" i="6" s="1"/>
  <c r="L15" i="6"/>
  <c r="K15" i="6" s="1"/>
  <c r="L14" i="6"/>
  <c r="K14" i="6" s="1"/>
  <c r="L13" i="6"/>
  <c r="K13" i="6" s="1"/>
  <c r="L12" i="6"/>
  <c r="K12" i="6" s="1"/>
  <c r="L11" i="6"/>
  <c r="K11" i="6" s="1"/>
  <c r="M5" i="6"/>
  <c r="K5" i="6"/>
  <c r="I5" i="6"/>
  <c r="G5" i="6"/>
  <c r="E5" i="6"/>
  <c r="R26" i="17"/>
  <c r="R25" i="17"/>
  <c r="R20" i="17"/>
  <c r="R19" i="17"/>
  <c r="R15" i="17"/>
  <c r="R14" i="17"/>
  <c r="R13" i="17"/>
  <c r="R12" i="17"/>
  <c r="R11" i="17"/>
  <c r="R10" i="17"/>
  <c r="R9" i="17"/>
  <c r="I5" i="17"/>
  <c r="G5" i="17"/>
  <c r="E5" i="17"/>
  <c r="C5" i="17"/>
  <c r="A5" i="17"/>
  <c r="P29" i="7" l="1" a="1"/>
  <c r="P29" i="7" s="1"/>
  <c r="P36" i="7" a="1"/>
  <c r="P36" i="7" s="1"/>
  <c r="P23" i="7" a="1"/>
  <c r="P23" i="7" s="1"/>
  <c r="P16" i="7" a="1"/>
  <c r="P16" i="7" s="1"/>
  <c r="P15" i="7" a="1"/>
  <c r="P15" i="7" s="1"/>
  <c r="P24" i="7" a="1"/>
  <c r="P24" i="7" s="1"/>
  <c r="P22" i="7" a="1"/>
  <c r="P22" i="7" s="1"/>
  <c r="P31" i="7" a="1"/>
  <c r="P31" i="7" s="1"/>
  <c r="P28" i="7" a="1"/>
  <c r="P28" i="7" s="1"/>
  <c r="P27" i="7" a="1"/>
  <c r="P27" i="7" s="1"/>
  <c r="P26" i="7" a="1"/>
  <c r="P26" i="7" s="1"/>
  <c r="P25" i="7" a="1"/>
  <c r="P25" i="7" s="1"/>
  <c r="P18" i="7" a="1"/>
  <c r="P18" i="7" s="1"/>
  <c r="P17" i="7" a="1"/>
  <c r="P17" i="7" s="1"/>
  <c r="P20" i="7" a="1"/>
  <c r="P20" i="7" s="1"/>
  <c r="P35" i="7" a="1"/>
  <c r="P35" i="7" s="1"/>
  <c r="P37" i="7" a="1"/>
  <c r="P37" i="7" s="1"/>
  <c r="P19" i="7" a="1"/>
  <c r="P19" i="7" s="1"/>
  <c r="P34" i="7" a="1"/>
  <c r="P34" i="7" s="1"/>
  <c r="P33" i="7" a="1"/>
  <c r="P33" i="7" s="1"/>
  <c r="P32" i="7" a="1"/>
  <c r="P32" i="7" s="1"/>
  <c r="P30" i="7" a="1"/>
  <c r="P30" i="7" s="1"/>
  <c r="P14" i="7" a="1"/>
  <c r="P14" i="7" s="1"/>
  <c r="P13" i="7" a="1"/>
  <c r="P13" i="7" s="1"/>
  <c r="P12" i="7" a="1"/>
  <c r="P12" i="7" s="1"/>
  <c r="P11" i="7" a="1"/>
  <c r="P11" i="7" s="1"/>
  <c r="D4" i="7"/>
  <c r="G5" i="7"/>
  <c r="L5" i="7" l="1"/>
  <c r="N5" i="7"/>
  <c r="P5" i="7"/>
  <c r="J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tc={A51AA88B-6022-47C7-BF10-50EC3F1124C0}</author>
    <author>tc={8077A402-852F-442B-BD72-ED91F05435F1}</author>
  </authors>
  <commentList>
    <comment ref="H16" authorId="0" shapeId="0" xr:uid="{A51AA88B-6022-47C7-BF10-50EC3F1124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Double check if further is still required
</t>
      </text>
    </comment>
    <comment ref="H20" authorId="1" shapeId="0" xr:uid="{8077A402-852F-442B-BD72-ED91F05435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Double check if further work is required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<sst xmlns="http://schemas.openxmlformats.org/spreadsheetml/2006/main" count="2003" uniqueCount="528">
  <si>
    <t xml:space="preserve">                                                                                                                                                                                                      </t>
  </si>
  <si>
    <t>JD — Accounting Task</t>
  </si>
  <si>
    <t>Last updated: 04 August 2026</t>
  </si>
  <si>
    <t>#</t>
  </si>
  <si>
    <t>Sheet Name</t>
  </si>
  <si>
    <t>Description</t>
  </si>
  <si>
    <t>Link</t>
  </si>
  <si>
    <t>Notes / cadence</t>
  </si>
  <si>
    <t>🗂 Client Master List</t>
  </si>
  <si>
    <t>All clients with BAS type, software, partners &amp; team</t>
  </si>
  <si>
    <t>→ Go</t>
  </si>
  <si>
    <t>📅 Daily To-Do</t>
  </si>
  <si>
    <t>Prioritised daily task list with status, ownership &amp; due dates</t>
  </si>
  <si>
    <t>Daily</t>
  </si>
  <si>
    <t>Client Allocation 10.06.2026</t>
  </si>
  <si>
    <t>Client allocation, responsibilities and expected time</t>
  </si>
  <si>
    <t>When allocations change</t>
  </si>
  <si>
    <t>📊 BAS-IAS Tracker</t>
  </si>
  <si>
    <t>July–December BAS/IAS status tracker by client obligation</t>
  </si>
  <si>
    <t>15th</t>
  </si>
  <si>
    <t>💳 Supplier Payment Run</t>
  </si>
  <si>
    <t>Mid &amp; EOM payment run schedule (OTK, Moscot, Zund)</t>
  </si>
  <si>
    <t>15th and 30th</t>
  </si>
  <si>
    <t>📚 Bookkeeping</t>
  </si>
  <si>
    <t>Weekly bookkeeping status by client</t>
  </si>
  <si>
    <t>Weekly</t>
  </si>
  <si>
    <t>📤 STP &amp; Payroll</t>
  </si>
  <si>
    <t>Fortnightly/monthly STP filing tracker</t>
  </si>
  <si>
    <t>Fortnightly / monthly</t>
  </si>
  <si>
    <t>🏦 Payroll Tax</t>
  </si>
  <si>
    <t>Monthly payroll tax tracker per client</t>
  </si>
  <si>
    <t>25th</t>
  </si>
  <si>
    <t>🌐 Metka BAS – Non-Group</t>
  </si>
  <si>
    <t>July BAS workflow for the Metka non-group entities</t>
  </si>
  <si>
    <t>Monthly</t>
  </si>
  <si>
    <t>🏢 AOS Control List</t>
  </si>
  <si>
    <t>Year-end payroll tax / workcover / super control list</t>
  </si>
  <si>
    <t>Year-end</t>
  </si>
  <si>
    <t>📁 Folder Structure</t>
  </si>
  <si>
    <t>Folder setup status per client</t>
  </si>
  <si>
    <t>As needed</t>
  </si>
  <si>
    <t>📋 Process Notes</t>
  </si>
  <si>
    <t>Handover / process note log</t>
  </si>
  <si>
    <t>🔑 APS Clients</t>
  </si>
  <si>
    <t>Clients using APS (vs Xero/XPM)</t>
  </si>
  <si>
    <t>📋Management Reports</t>
  </si>
  <si>
    <t>Monthly management report status per client</t>
  </si>
  <si>
    <t>1st, 6th, 10th, 16th</t>
  </si>
  <si>
    <t>DAILY PRIORITY PLANNER</t>
  </si>
  <si>
    <t>Choose the work that matters most today, sequence it, and keep the remaining workload visible.</t>
  </si>
  <si>
    <t>← Dashboard</t>
  </si>
  <si>
    <t>PLAN DATE</t>
  </si>
  <si>
    <t>TASKS</t>
  </si>
  <si>
    <t>OPEN</t>
  </si>
  <si>
    <t>DONE</t>
  </si>
  <si>
    <t>OPEN MINUTES</t>
  </si>
  <si>
    <t>TODAY'S PRIORITIES</t>
  </si>
  <si>
    <t>Order</t>
  </si>
  <si>
    <t>Priority</t>
  </si>
  <si>
    <t>Task</t>
  </si>
  <si>
    <t>Client / Project</t>
  </si>
  <si>
    <t>Workstream</t>
  </si>
  <si>
    <t>Due date</t>
  </si>
  <si>
    <t>Est. min</t>
  </si>
  <si>
    <t>Status</t>
  </si>
  <si>
    <t>Next action / Notes</t>
  </si>
  <si>
    <t>Carry over?</t>
  </si>
  <si>
    <t>Owner</t>
  </si>
  <si>
    <t>Reviewer</t>
  </si>
  <si>
    <t>Reporting period</t>
  </si>
  <si>
    <t>Waiting on</t>
  </si>
  <si>
    <t>Completion date</t>
  </si>
  <si>
    <t>Recurring?</t>
  </si>
  <si>
    <t>Source sheet</t>
  </si>
  <si>
    <t>Days overdue</t>
  </si>
  <si>
    <t>P1 - Critical</t>
  </si>
  <si>
    <t>Prepare July management accounts</t>
  </si>
  <si>
    <t>OTK (Outokumpu)</t>
  </si>
  <si>
    <t>Management Reports</t>
  </si>
  <si>
    <t>Done</t>
  </si>
  <si>
    <t>Due 1 Aug — overdue; prepare and submit for review</t>
  </si>
  <si>
    <t>No</t>
  </si>
  <si>
    <t>Jan</t>
  </si>
  <si>
    <t>Yes</t>
  </si>
  <si>
    <t>Moscot South Yarra</t>
  </si>
  <si>
    <t>Wait for any adjustment by client</t>
  </si>
  <si>
    <t>P2 - Important</t>
  </si>
  <si>
    <t>Gestro / Ausmeter</t>
  </si>
  <si>
    <t>Zund Australia</t>
  </si>
  <si>
    <t>Due 16 Aug — prepare working papers and draft report</t>
  </si>
  <si>
    <t>Ask SH if further work is required - July IAS</t>
  </si>
  <si>
    <t>Pirkx Australia Pty Ltd</t>
  </si>
  <si>
    <t>BAS tracker</t>
  </si>
  <si>
    <t>Ask SH if further work is required - June BAS</t>
  </si>
  <si>
    <t>L Vafeas &amp; P Vafeas | (Peters Prestons Market Takeaway)</t>
  </si>
  <si>
    <t>Finalize June accounts</t>
  </si>
  <si>
    <t>Client for credit card invoices</t>
  </si>
  <si>
    <t>Prepare August management accounts</t>
  </si>
  <si>
    <t>Moscot South Yarra Pty Ltd</t>
  </si>
  <si>
    <t>In progress</t>
  </si>
  <si>
    <t>Due 12 Sep — prepare and submit for review</t>
  </si>
  <si>
    <t>Zund Australia Pty Ltd</t>
  </si>
  <si>
    <t>Due 16 Sep — prepare and submit for review</t>
  </si>
  <si>
    <t>Not started</t>
  </si>
  <si>
    <t>Due 10 Sep — prepare and submit for review</t>
  </si>
  <si>
    <t>Month-end bookkeeping</t>
  </si>
  <si>
    <t>Bookkeeping</t>
  </si>
  <si>
    <t>Moscot Australia</t>
  </si>
  <si>
    <t>Prepare August BAS</t>
  </si>
  <si>
    <t>Doit International Aus Pty Ltd</t>
  </si>
  <si>
    <t>BAS &amp; IAS</t>
  </si>
  <si>
    <t>Data available on the 16th</t>
  </si>
  <si>
    <t>JCh</t>
  </si>
  <si>
    <t>Prepare August IAS / BAS</t>
  </si>
  <si>
    <t>Spiliotis Legal Pty Ltd</t>
  </si>
  <si>
    <t>2-monthly IAS; quarterly BAS obligation</t>
  </si>
  <si>
    <t>RB</t>
  </si>
  <si>
    <t>Elite Perimeter Security Pty Ltd</t>
  </si>
  <si>
    <t>Include red items missed from previous BAS reports because payroll was completed late</t>
  </si>
  <si>
    <t>Lime Network</t>
  </si>
  <si>
    <t>Make a checklist for August BAS</t>
  </si>
  <si>
    <t>P3 - Routine</t>
  </si>
  <si>
    <t>All clients</t>
  </si>
  <si>
    <t>Timesheet</t>
  </si>
  <si>
    <t>Tip: keep no more than three P1 tasks. Use Order to set your sequence, update Status during the day, and mark Carry over? = Yes only when work must move forward.</t>
  </si>
  <si>
    <t>Personal to do checklist</t>
  </si>
  <si>
    <t>OPEN TASKS</t>
  </si>
  <si>
    <t>COMPLETED</t>
  </si>
  <si>
    <t>ACTION CHECKLIST</t>
  </si>
  <si>
    <t>Category</t>
  </si>
  <si>
    <t>Notes</t>
  </si>
  <si>
    <t>To buy</t>
  </si>
  <si>
    <t>Condom</t>
  </si>
  <si>
    <t>Paper tape</t>
  </si>
  <si>
    <t>To do</t>
  </si>
  <si>
    <t>Visit gym</t>
  </si>
  <si>
    <t>Create job search automation for Airah -&gt; update of CV or resume -&gt; sending of application</t>
  </si>
  <si>
    <t>TO do</t>
  </si>
  <si>
    <t>Apply leave on 29 and 30 October</t>
  </si>
  <si>
    <t>Client</t>
  </si>
  <si>
    <t>Software</t>
  </si>
  <si>
    <t>Jul26 W1</t>
  </si>
  <si>
    <t>Jul26 W2</t>
  </si>
  <si>
    <t>Jul26 W3</t>
  </si>
  <si>
    <t>Jul26 W4</t>
  </si>
  <si>
    <t>Jul26 W5</t>
  </si>
  <si>
    <t>Aug26 W1</t>
  </si>
  <si>
    <t>Aug26 W2</t>
  </si>
  <si>
    <t>Aug26 W3</t>
  </si>
  <si>
    <t>Aug26 W4</t>
  </si>
  <si>
    <t>Aug26 W5</t>
  </si>
  <si>
    <t>Sep26 W1</t>
  </si>
  <si>
    <t>Sep26 W2</t>
  </si>
  <si>
    <t>Sep26 W3</t>
  </si>
  <si>
    <t>Sep26 W4</t>
  </si>
  <si>
    <t>Sep26 W5</t>
  </si>
  <si>
    <t>Oct26 W1</t>
  </si>
  <si>
    <t>Oct26 W2</t>
  </si>
  <si>
    <t>Oct26 W3</t>
  </si>
  <si>
    <t>Oct26 W4</t>
  </si>
  <si>
    <t>Oct26 W5</t>
  </si>
  <si>
    <t>Nov26 W1</t>
  </si>
  <si>
    <t>Nov26 W2</t>
  </si>
  <si>
    <t>Nov26 W3</t>
  </si>
  <si>
    <t>Nov26 W4</t>
  </si>
  <si>
    <t>Nov26 W5</t>
  </si>
  <si>
    <t>Dec26 W1</t>
  </si>
  <si>
    <t>Dec26 W2</t>
  </si>
  <si>
    <t>Dec26 W3</t>
  </si>
  <si>
    <t>Dec26 W4</t>
  </si>
  <si>
    <t>Dec26 W5</t>
  </si>
  <si>
    <t>Zund</t>
  </si>
  <si>
    <t>Xero</t>
  </si>
  <si>
    <t>Outokumpo</t>
  </si>
  <si>
    <t>Spiliotis Legal</t>
  </si>
  <si>
    <t>Xero | Leap</t>
  </si>
  <si>
    <t>N/A</t>
  </si>
  <si>
    <t>Eltham</t>
  </si>
  <si>
    <t>A &amp; C Boyd</t>
  </si>
  <si>
    <t>MYOB</t>
  </si>
  <si>
    <t>Boyd Electrical</t>
  </si>
  <si>
    <t>1161 Main</t>
  </si>
  <si>
    <t>Mulcahy Family</t>
  </si>
  <si>
    <t>Legend:</t>
  </si>
  <si>
    <t>N/A (grey) = week not applicable — client is Monthly bookkeeping</t>
  </si>
  <si>
    <t>W4 of each month (shaded amber) = the working week for Monthly clients</t>
  </si>
  <si>
    <t>AUGUST 2026 BAS — GROUP CLIENT CONTROL</t>
  </si>
  <si>
    <t>20 entities | Monthly BAS workflow from preparation through lodgement | Update the status fields as work progresses</t>
  </si>
  <si>
    <t>Standard due date</t>
  </si>
  <si>
    <t>Entities</t>
  </si>
  <si>
    <t>Completed</t>
  </si>
  <si>
    <t>For review</t>
  </si>
  <si>
    <t>Blocked</t>
  </si>
  <si>
    <t>Due ≤7 days</t>
  </si>
  <si>
    <t>CURRENT MONTH CONTROL</t>
  </si>
  <si>
    <t>Start with preparation, then complete the ATO statement and signing copy. Overall status updates automatically; use Blocker / notes only for exceptions requiring action.</t>
  </si>
  <si>
    <t>Entity</t>
  </si>
  <si>
    <t>Tax registration</t>
  </si>
  <si>
    <t>Preparation</t>
  </si>
  <si>
    <t>ATO statement</t>
  </si>
  <si>
    <t>Signing copy</t>
  </si>
  <si>
    <t>Lodgement</t>
  </si>
  <si>
    <t>Days to due</t>
  </si>
  <si>
    <t>Overall status</t>
  </si>
  <si>
    <t>Blocker / notes</t>
  </si>
  <si>
    <t>Alligator Bess Holdings Pty Ltd (Group)</t>
  </si>
  <si>
    <t>Confirm registration</t>
  </si>
  <si>
    <t>Carinya BESS Holdings Pty Ltd (Group)</t>
  </si>
  <si>
    <t>Denhun Holdco Pty Ltd (Group)</t>
  </si>
  <si>
    <t>Denman Bess Trust</t>
  </si>
  <si>
    <t>Denman Bess Holdings Pty Ltd</t>
  </si>
  <si>
    <t>Emu Park Energy Holdings Pty Ltd (Group)</t>
  </si>
  <si>
    <t>GST &amp; Deffered GST</t>
  </si>
  <si>
    <t>Hay Solar Farm Holdings Pty Ltd (Group)</t>
  </si>
  <si>
    <t>GST</t>
  </si>
  <si>
    <t>M Renewables Australia Developments Pty Ltd</t>
  </si>
  <si>
    <t>GST, Deferred GST &amp; PAYGI-Qrtrly (get in income for the quarter i P&amp;L, then apply rate)</t>
  </si>
  <si>
    <t>Metlen Australia Finco Pty Ltd</t>
  </si>
  <si>
    <t>Metlen Australia Services Pty Ltd</t>
  </si>
  <si>
    <t>Mettransfers Pty Ltd</t>
  </si>
  <si>
    <t>Mavis Solar Farm Australia Holdings (Group)</t>
  </si>
  <si>
    <t>Jovelyn</t>
  </si>
  <si>
    <t>Moama SF Holdco Pty Ltd (Group)</t>
  </si>
  <si>
    <t>Moura Solar Farm Holdings Pty Ltd (Group)</t>
  </si>
  <si>
    <t>GST &amp; PAYGW (monthly)</t>
  </si>
  <si>
    <t>Munna Creek Solar Farm Hold Co Pty Ltd (Group)</t>
  </si>
  <si>
    <t>Polldale SF Holdings Pty Ltd (Group)</t>
  </si>
  <si>
    <t>Plains SF No1 Pty Ltd</t>
  </si>
  <si>
    <t>Terranova Asset Trust (Group)</t>
  </si>
  <si>
    <t>Upper Hunter SF Holdco (Group)</t>
  </si>
  <si>
    <t>Wyalong Solar Farm Holdings Pty Ltd  (Group)</t>
  </si>
  <si>
    <t>2026 BAS &amp; IAS — MULTI-MONTH STATUS TRACKER</t>
  </si>
  <si>
    <t>One row per client obligation | Update July–December status cells; the current-period summary changes automatically</t>
  </si>
  <si>
    <t>Current period</t>
  </si>
  <si>
    <t>Monthly due date (guide)</t>
  </si>
  <si>
    <t>Obligations</t>
  </si>
  <si>
    <t>Active</t>
  </si>
  <si>
    <t>Waiting</t>
  </si>
  <si>
    <t>MONTHLY STATUS CONTROL</t>
  </si>
  <si>
    <t>Monthly and mixed IAS/BAS obligations are active each month. Pure quarterly obligations are pre-set to Not applicable outside September and December; verify unusual client-specific due dates separately.</t>
  </si>
  <si>
    <t>Obligation type</t>
  </si>
  <si>
    <t>Processor</t>
  </si>
  <si>
    <t>Senior / AM</t>
  </si>
  <si>
    <t>Manager</t>
  </si>
  <si>
    <t>Current notes</t>
  </si>
  <si>
    <t>June status</t>
  </si>
  <si>
    <t>Jul status</t>
  </si>
  <si>
    <t>Aug status</t>
  </si>
  <si>
    <t>Sep status</t>
  </si>
  <si>
    <t>Oct status</t>
  </si>
  <si>
    <t>Nov status</t>
  </si>
  <si>
    <t>Dec status</t>
  </si>
  <si>
    <t>Current status</t>
  </si>
  <si>
    <t>Next action / blocker</t>
  </si>
  <si>
    <t>A R D Earthmoving And Civil Construction Pty Ltd</t>
  </si>
  <si>
    <t>1 - Payroll; 3-QTR BAS</t>
  </si>
  <si>
    <t>APS</t>
  </si>
  <si>
    <t>JP</t>
  </si>
  <si>
    <t>TC</t>
  </si>
  <si>
    <t>MG</t>
  </si>
  <si>
    <t>Not applicable</t>
  </si>
  <si>
    <t>FDM Operations Pte. Ltd</t>
  </si>
  <si>
    <t>1-Monthly IAS - BAS</t>
  </si>
  <si>
    <t>XPM</t>
  </si>
  <si>
    <t>PG</t>
  </si>
  <si>
    <t>JC</t>
  </si>
  <si>
    <t>Doit International Aus Pty Ltd - PAYG</t>
  </si>
  <si>
    <t>1-Monthly PAYGI</t>
  </si>
  <si>
    <t>JD</t>
  </si>
  <si>
    <t>Data on 16th</t>
  </si>
  <si>
    <t>1-Monthy BAS</t>
  </si>
  <si>
    <t>Eltham Physiotherapy Centre Pty Ltd</t>
  </si>
  <si>
    <t>3-QTR BAS</t>
  </si>
  <si>
    <t>SH</t>
  </si>
  <si>
    <t>To file Nil June BAS; done</t>
  </si>
  <si>
    <t>Waiting on client</t>
  </si>
  <si>
    <t>2-Monthly IAS ; BAS QTR</t>
  </si>
  <si>
    <t>Outokumpu Stainless Pty Ltd</t>
  </si>
  <si>
    <t>1-PAYG instalment</t>
  </si>
  <si>
    <t>DS</t>
  </si>
  <si>
    <t>Business close last email -&gt; Pirkx Australia - 30 June 2026 Draft Documents</t>
  </si>
  <si>
    <t>Surety Australia Pty Ltd - Zz</t>
  </si>
  <si>
    <t>PG / SH</t>
  </si>
  <si>
    <t>No work anymore</t>
  </si>
  <si>
    <t>A &amp; C Boyd Pty Ltd</t>
  </si>
  <si>
    <t>Mulcahy Family Investments Pty Ltd</t>
  </si>
  <si>
    <t>Boyd Electrical Trust | THE TRUSTEE FOR BOYD ELECTRICAL TRUST</t>
  </si>
  <si>
    <t>Airis Security Technologies Pty Ltd</t>
  </si>
  <si>
    <t>Disengage in payroll April 2026</t>
  </si>
  <si>
    <t>Out to sign</t>
  </si>
  <si>
    <t>Ashling Partners Australia Pty Ltd</t>
  </si>
  <si>
    <t>Building Design Partnership Australasia Pty Limited</t>
  </si>
  <si>
    <t>PG - SH</t>
  </si>
  <si>
    <t>Need data for April 2026</t>
  </si>
  <si>
    <t>Couchbase Australia Pty Ltd -  Unusual Due Dates</t>
  </si>
  <si>
    <t>The Trustee For The 1161 Main Rd Unit Trust</t>
  </si>
  <si>
    <t>April BAS, can you please include red items. These were missed from previous BAS reports because the client done payroll late.</t>
  </si>
  <si>
    <t>The Morrah Street Group Pty Ltd - Zz</t>
  </si>
  <si>
    <t>Subject: The Morrah Street Group - No further work
 Received: 2 February 2026, 11:29 AM</t>
  </si>
  <si>
    <t>Metka Non-Group IAS'</t>
  </si>
  <si>
    <t>Netsuite / APS</t>
  </si>
  <si>
    <t>March BAS still out to sign</t>
  </si>
  <si>
    <t>Nocturnal Entertainment Pty Ltd</t>
  </si>
  <si>
    <t>MR</t>
  </si>
  <si>
    <t>JW Colour</t>
  </si>
  <si>
    <t>XPM &amp; Keypay</t>
  </si>
  <si>
    <t>MONTHLY STATUS COUNTERS — Done / To do / Waiting / Not applicable per month</t>
  </si>
  <si>
    <t>Month</t>
  </si>
  <si>
    <t>Due</t>
  </si>
  <si>
    <t>November</t>
  </si>
  <si>
    <t>December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</si>
  <si>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</si>
  <si>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</si>
  <si>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</si>
  <si>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</si>
  <si>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</si>
  <si>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</si>
  <si>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</si>
  <si>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</si>
  <si>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</si>
  <si>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</si>
  <si>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</si>
  <si>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</si>
  <si>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 xml:space="preserve">Moscot </t>
  </si>
  <si>
    <t>12th</t>
  </si>
  <si>
    <t>for review 08.01.2025</t>
  </si>
  <si>
    <t>Day 16</t>
  </si>
  <si>
    <t>10th</t>
  </si>
  <si>
    <t>For review 13.01.20025</t>
  </si>
  <si>
    <t>Not yet started</t>
  </si>
  <si>
    <t>OTK (Outokumpu?)</t>
  </si>
  <si>
    <t>1st of month</t>
  </si>
  <si>
    <t>N?A</t>
  </si>
  <si>
    <t>For review; Done</t>
  </si>
  <si>
    <t>SUPPLIER PAYMENT RUN — 2026</t>
  </si>
  <si>
    <t>Mid-month and month-end control through December 2026 | Select a status from the dropdown; existing dates and detailed notes are preserved.</t>
  </si>
  <si>
    <t>Invoice Follow-up</t>
  </si>
  <si>
    <t>MID (15th)</t>
  </si>
  <si>
    <t>Invoice Follow-up 2</t>
  </si>
  <si>
    <t>EOM (30th)</t>
  </si>
  <si>
    <t>Jan-26 Mid</t>
  </si>
  <si>
    <t>Jan-26 End</t>
  </si>
  <si>
    <t>Feb-26 Mid</t>
  </si>
  <si>
    <t>Feb-26 End</t>
  </si>
  <si>
    <t>Mar-26 Mid</t>
  </si>
  <si>
    <t>Mar-26 End</t>
  </si>
  <si>
    <t>Apr-26 Mid</t>
  </si>
  <si>
    <t>Apr-26 End</t>
  </si>
  <si>
    <t>May-26 Mid</t>
  </si>
  <si>
    <t>May-26 End</t>
  </si>
  <si>
    <t>Jun-26 Mid</t>
  </si>
  <si>
    <t>Jun-26 End</t>
  </si>
  <si>
    <t>Jul-26 Mid</t>
  </si>
  <si>
    <t>Jul-26 End</t>
  </si>
  <si>
    <t>Aug-26 Mid</t>
  </si>
  <si>
    <t>Aug-26 End</t>
  </si>
  <si>
    <t>Sep-26 Mid</t>
  </si>
  <si>
    <t>Sep-26 End</t>
  </si>
  <si>
    <t>Oct-26 Mid</t>
  </si>
  <si>
    <t>Oct-26 End</t>
  </si>
  <si>
    <t>Nov-26 Mid</t>
  </si>
  <si>
    <t>Nov-26 End</t>
  </si>
  <si>
    <t>Dec-26 Mid</t>
  </si>
  <si>
    <t>Dec-26 End</t>
  </si>
  <si>
    <t>1. Review bills in draft; include usual bills missing in email: every 15th; BAS and super &amp; payroll
2. Include BAS Payment slip &amp; employee bank details (for payroll)</t>
  </si>
  <si>
    <t>30th</t>
  </si>
  <si>
    <t>In progress 15.12.2025</t>
  </si>
  <si>
    <t>30/03/2026</t>
  </si>
  <si>
    <t>In progress; email in draft</t>
  </si>
  <si>
    <t>Initial email send to TC 12.05.2026</t>
  </si>
  <si>
    <t>Look for invoices in F-drive &amp; BAS/IAS if applicable, double-check if complete</t>
  </si>
  <si>
    <t>To process 3 days prior 03/23/2026</t>
  </si>
  <si>
    <t>Include Mazars Bill every 15th &amp; and look for Jet Couriers Invoice on Mid or month-end</t>
  </si>
  <si>
    <t>28/04/2026</t>
  </si>
  <si>
    <t>13th morning</t>
  </si>
  <si>
    <t>STATUS GUIDE</t>
  </si>
  <si>
    <t>Senior</t>
  </si>
  <si>
    <t>Commence</t>
  </si>
  <si>
    <t>Due Date</t>
  </si>
  <si>
    <t>DoIt International Aus Pty Ltd</t>
  </si>
  <si>
    <t>DS / JCh</t>
  </si>
  <si>
    <t>Usually 25th after payroll is done</t>
  </si>
  <si>
    <t>7th of the following month</t>
  </si>
  <si>
    <t>Epiq Systems Au Pty Ltd</t>
  </si>
  <si>
    <t>DS?</t>
  </si>
  <si>
    <t>CO Clarice</t>
  </si>
  <si>
    <t>Lime Networks Pty Ltd</t>
  </si>
  <si>
    <t>Jan W1</t>
  </si>
  <si>
    <t>Jan W2</t>
  </si>
  <si>
    <t>Jan W3</t>
  </si>
  <si>
    <t>Jan W4</t>
  </si>
  <si>
    <t>Feb W1</t>
  </si>
  <si>
    <t>Feb W2</t>
  </si>
  <si>
    <t>Feb W3</t>
  </si>
  <si>
    <t>Feb W4</t>
  </si>
  <si>
    <t>Mar W1</t>
  </si>
  <si>
    <t>Mar W2</t>
  </si>
  <si>
    <t>Mar W3</t>
  </si>
  <si>
    <t>Mar W4</t>
  </si>
  <si>
    <t>Apr W1</t>
  </si>
  <si>
    <t>Apr W2</t>
  </si>
  <si>
    <t>Apr W3</t>
  </si>
  <si>
    <t>Apr W4</t>
  </si>
  <si>
    <t>May W1</t>
  </si>
  <si>
    <t>May W2</t>
  </si>
  <si>
    <t>May W3</t>
  </si>
  <si>
    <t>May W4</t>
  </si>
  <si>
    <t>Jun W1</t>
  </si>
  <si>
    <t>Jun W2</t>
  </si>
  <si>
    <t>Jun W3</t>
  </si>
  <si>
    <t>Jun W4</t>
  </si>
  <si>
    <t>Jul W1</t>
  </si>
  <si>
    <t>Jul W2</t>
  </si>
  <si>
    <t>Jul W3</t>
  </si>
  <si>
    <t>Jul W4</t>
  </si>
  <si>
    <t>Aug W1</t>
  </si>
  <si>
    <t>Aug W2</t>
  </si>
  <si>
    <t>Aug W3</t>
  </si>
  <si>
    <t>Aug W4</t>
  </si>
  <si>
    <t>Sep W1</t>
  </si>
  <si>
    <t>Sep W2</t>
  </si>
  <si>
    <t>Sep W3</t>
  </si>
  <si>
    <t>Sep W4</t>
  </si>
  <si>
    <t>Oct W1</t>
  </si>
  <si>
    <t>Oct W2</t>
  </si>
  <si>
    <t>Oct W3</t>
  </si>
  <si>
    <t>Oct W4</t>
  </si>
  <si>
    <t>Nov W1</t>
  </si>
  <si>
    <t>Nov W2</t>
  </si>
  <si>
    <t>Nov W3</t>
  </si>
  <si>
    <t>Nov W4</t>
  </si>
  <si>
    <t>Dec W1</t>
  </si>
  <si>
    <t>Dec W2</t>
  </si>
  <si>
    <t>Dec W3</t>
  </si>
  <si>
    <t>Dec W4</t>
  </si>
  <si>
    <t>EPC</t>
  </si>
  <si>
    <t>Fornight STP filing</t>
  </si>
  <si>
    <t>A R D</t>
  </si>
  <si>
    <t>Quarterly bookkeeping and payroll; Super is due on 21st of the following month</t>
  </si>
  <si>
    <t>Not yet</t>
  </si>
  <si>
    <t>A&amp;T Junior</t>
  </si>
  <si>
    <t>Senior/AM</t>
  </si>
  <si>
    <t>Manager/Partner</t>
  </si>
  <si>
    <t>Payroll Only</t>
  </si>
  <si>
    <t>Supplier Run</t>
  </si>
  <si>
    <t>Mgmt Accounts</t>
  </si>
  <si>
    <t>Qtrly BAS</t>
  </si>
  <si>
    <t>Monthly BAS</t>
  </si>
  <si>
    <t>Monthly IAS</t>
  </si>
  <si>
    <t>Form 384</t>
  </si>
  <si>
    <t>A R D EARTHMOVING AND CIVIL CONSTRUCTION PTY LTD</t>
  </si>
  <si>
    <t>JCH</t>
  </si>
  <si>
    <t xml:space="preserve">                                 -  </t>
  </si>
  <si>
    <t>AIIA</t>
  </si>
  <si>
    <t>CE</t>
  </si>
  <si>
    <t>BR</t>
  </si>
  <si>
    <t>AIRIS SECURITY TECHNOLOGIES PTY LTD</t>
  </si>
  <si>
    <t>Lodged</t>
  </si>
  <si>
    <t>Area Specilaist Endeavour Hills Pty Ltd</t>
  </si>
  <si>
    <t>ASHLING PARTNERS AUSTRALIA PTY LTD</t>
  </si>
  <si>
    <t>AT Group Management Pte Ltd</t>
  </si>
  <si>
    <t>BEAU TIN ASSET MANAGEMENT PTY LTD</t>
  </si>
  <si>
    <t xml:space="preserve">Bioforum </t>
  </si>
  <si>
    <t>BREMONT WATCH COMPANY AUSTRALIA PTY LTD</t>
  </si>
  <si>
    <t>BUILDING DESIGN PARTNERSHIP AUSTRALASIA PTY LIMITED</t>
  </si>
  <si>
    <t>CMC Gold</t>
  </si>
  <si>
    <t>COUCHBASE AUSTRALIA PTY LTD</t>
  </si>
  <si>
    <t>CRAFT CXM PTY LTD</t>
  </si>
  <si>
    <t>CUPPE PTY LTD</t>
  </si>
  <si>
    <t>DIAMOND STAINLESS STEEL COMMERCIAL PTY LTD</t>
  </si>
  <si>
    <t>DOIT INTERNATIONAL AUS PTY LTD</t>
  </si>
  <si>
    <t>ELITE PERIMETER SECURITY PTY LTD</t>
  </si>
  <si>
    <t>ELTHAM PHYSIOTHERAPY CENTRE PTY LTD</t>
  </si>
  <si>
    <t>EPIQ AUSTRALIA PTY LTD</t>
  </si>
  <si>
    <t>EPIQ SYSTEMS AUSTRALIA PTY LTD</t>
  </si>
  <si>
    <t>FRAMLINGHAM ABORIGINAL TRUST</t>
  </si>
  <si>
    <t>GESTRO</t>
  </si>
  <si>
    <t>Htrak Pty Ltd</t>
  </si>
  <si>
    <t>IPG Holdings Limited</t>
  </si>
  <si>
    <t>JW Colour Pty Ltd</t>
  </si>
  <si>
    <t>LIME NETWORK PTY LTD</t>
  </si>
  <si>
    <t>MARILJOHN PTY LTD</t>
  </si>
  <si>
    <t>MATTERPORT OPERATING, LLC</t>
  </si>
  <si>
    <t>METKA EGN AUSTRALIA PTY LTD</t>
  </si>
  <si>
    <t>MINDERA AUSTRALIA PTY LTD</t>
  </si>
  <si>
    <t>MODA INDUSTRIES AUSTRALIA PTY LTD</t>
  </si>
  <si>
    <t>NANTSTUDIOS VIRTUAL PRODUCTION, AUSTRALIA PTY LTD</t>
  </si>
  <si>
    <t>NOCTURNAL ENTERTAINMENT PTY LTD</t>
  </si>
  <si>
    <t>Options Technology</t>
  </si>
  <si>
    <t>OUTOKUMPU STAINLESS PTY LTD</t>
  </si>
  <si>
    <t>Pangia</t>
  </si>
  <si>
    <t xml:space="preserve">Peter Prestons </t>
  </si>
  <si>
    <t>PHASTAR PTY LTD</t>
  </si>
  <si>
    <t>PIRKX AUSTRALIA PTY LTD</t>
  </si>
  <si>
    <t>PRIMETALS TECHNOLOGIES POLAND SP. Z O.O.</t>
  </si>
  <si>
    <t>Not required</t>
  </si>
  <si>
    <t>Proxymity</t>
  </si>
  <si>
    <t>PUMP SYSTEMS LIMITED</t>
  </si>
  <si>
    <t>RAIN BIRD (AUSTRALIA) PTY LTD</t>
  </si>
  <si>
    <t>Red Hills</t>
  </si>
  <si>
    <t>SK</t>
  </si>
  <si>
    <t>Sebia Australia Pty Ltd</t>
  </si>
  <si>
    <t>Smardt</t>
  </si>
  <si>
    <t>SODIA PTY LTD</t>
  </si>
  <si>
    <t>SPILIOTIS LEGAL PTY LTD</t>
  </si>
  <si>
    <t>STUDIO H67 PTY LTD</t>
  </si>
  <si>
    <t>Surety</t>
  </si>
  <si>
    <t xml:space="preserve">SWJR Nominees </t>
  </si>
  <si>
    <t>The Morrah Street Group Pty Ltd</t>
  </si>
  <si>
    <t>Treaty Authority</t>
  </si>
  <si>
    <t>WAAVE TECHNOLOGIES PTY LTD</t>
  </si>
  <si>
    <t>YOTPO (AUS) PTY LTD</t>
  </si>
  <si>
    <t>ZUND AUSTRALIA PTY LTD</t>
  </si>
  <si>
    <t>Sent - to be followed up</t>
  </si>
  <si>
    <t>Cowboy Concepts</t>
  </si>
  <si>
    <t> </t>
  </si>
  <si>
    <t>Folder Status</t>
  </si>
  <si>
    <t>Metka Non-Group IAS's</t>
  </si>
  <si>
    <t>COUCHBASE AUSTRALIA PTY LTD -  Unusual due dates</t>
  </si>
  <si>
    <t>Can't find folder</t>
  </si>
  <si>
    <t>Surety Australia Pty Ltd</t>
  </si>
  <si>
    <t>Cant find folder</t>
  </si>
  <si>
    <t>Peters Prestons/L VAFEAS &amp; P VAFEAS</t>
  </si>
  <si>
    <t>No folder structure yet; double check with DS</t>
  </si>
  <si>
    <t>Mulcahy Group</t>
  </si>
  <si>
    <t>Boyd Electrical Trust</t>
  </si>
  <si>
    <t>Mulcahy Family Trust | Mulcahy Family Investments Pty Ltd</t>
  </si>
  <si>
    <t>THE TRUSTEE FOR THE 1161 MAIN RD UNIT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</si>
</sst>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5" formatCode="mm/dd/yyyy"/>
    <numFmt numFmtId="166" formatCode="[$-409]dd\-mmm\-yy"/>
    <numFmt numFmtId="168" formatCode="ddd\,\ dd\ mmm\ yyyy"/>
    <numFmt numFmtId="169" formatCode="ddd\,\ dd\ mmm"/>
    <numFmt numFmtId="170" formatCode="dd\-mmm\-yy"/>
  </numFmts>
  <fonts count="45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9"/>
      <color theme="1"/>
      <name val="Arial"/>
    </font>
    <font>
      <b/>
      <sz val="18"/>
      <color rgb="FF1F3864"/>
      <name val="Arial"/>
    </font>
    <font>
      <sz val="11"/>
      <color rgb="FF000000"/>
      <name val="Arial"/>
    </font>
    <font>
      <sz val="9"/>
      <color rgb="FF808080"/>
      <name val="Arial"/>
    </font>
    <font>
      <b/>
      <sz val="10"/>
      <color theme="1"/>
      <name val="Arial"/>
    </font>
    <font>
      <sz val="9"/>
      <color theme="1"/>
      <name val="Arial"/>
    </font>
    <font>
      <u/>
      <sz val="11"/>
      <color rgb="FF0000FF"/>
      <name val="Calibri"/>
    </font>
    <font>
      <b/>
      <sz val="10"/>
      <color rgb="FF000000"/>
      <name val="Arial"/>
    </font>
    <font>
      <b/>
      <sz val="10"/>
      <color rgb="FFFFFFFF"/>
      <name val="Arial"/>
    </font>
    <font>
      <sz val="11"/>
      <color rgb="FF000000"/>
      <name val="Aptos Narrow"/>
    </font>
    <font>
      <sz val="11"/>
      <color theme="1"/>
      <name val="Calibri"/>
    </font>
    <font>
      <sz val="9"/>
      <color theme="1"/>
      <name val="Calibri"/>
    </font>
    <font>
      <sz val="8"/>
      <color theme="1"/>
      <name val="Arial"/>
    </font>
    <font>
      <b/>
      <sz val="10"/>
      <color rgb="FFFFFFFF"/>
      <name val="Aptos"/>
    </font>
    <font>
      <b/>
      <sz val="11"/>
      <color rgb="FFFFFFFF"/>
      <name val="Calibri"/>
      <scheme val="minor"/>
    </font>
    <font>
      <b/>
      <sz val="18"/>
      <color rgb="FFFFFFFF"/>
      <name val="Calibri"/>
      <scheme val="minor"/>
    </font>
    <font>
      <i/>
      <sz val="11"/>
      <color rgb="FF666666"/>
      <name val="Calibri"/>
      <scheme val="minor"/>
    </font>
    <font>
      <i/>
      <sz val="10"/>
      <color rgb="FF666666"/>
      <name val="Calibri"/>
      <scheme val="minor"/>
    </font>
    <font>
      <b/>
      <sz val="10"/>
      <color rgb="FF17365D"/>
      <name val="Calibri"/>
      <scheme val="minor"/>
    </font>
    <font>
      <b/>
      <sz val="14"/>
      <color rgb="FF17365D"/>
      <name val="Calibri"/>
      <scheme val="minor"/>
    </font>
    <font>
      <b/>
      <sz val="12"/>
      <color rgb="FFFFFFFF"/>
      <name val="Calibri"/>
      <scheme val="minor"/>
    </font>
    <font>
      <i/>
      <sz val="11"/>
      <color rgb="FF7F6000"/>
      <name val="Calibri"/>
      <scheme val="minor"/>
    </font>
    <font>
      <sz val="11"/>
      <color rgb="FF555555"/>
      <name val="Calibri"/>
      <scheme val="minor"/>
    </font>
    <font>
      <b/>
      <sz val="16"/>
      <color theme="1"/>
      <name val="Calibri"/>
      <scheme val="minor"/>
    </font>
    <font>
      <b/>
      <u/>
      <sz val="11"/>
      <color rgb="FF0563C1"/>
      <name val="Calibri"/>
      <scheme val="minor"/>
    </font>
    <font>
      <b/>
      <u/>
      <sz val="10"/>
      <color rgb="FF0563C1"/>
      <name val="Arial"/>
    </font>
    <font>
      <b/>
      <sz val="18"/>
      <color rgb="FFFFFFFF"/>
      <name val="Aptos"/>
    </font>
    <font>
      <i/>
      <sz val="10"/>
      <color rgb="FF555555"/>
      <name val="Aptos"/>
    </font>
    <font>
      <b/>
      <u/>
      <sz val="11"/>
      <color rgb="FF1F4E78"/>
      <name val="Aptos"/>
    </font>
    <font>
      <sz val="11"/>
      <color theme="1"/>
      <name val="Aptos"/>
    </font>
    <font>
      <sz val="9"/>
      <color theme="1"/>
      <name val="Aptos"/>
    </font>
    <font>
      <sz val="11"/>
      <name val="Aptos"/>
    </font>
    <font>
      <b/>
      <sz val="11"/>
      <color rgb="FFFFFFFF"/>
      <name val="Aptos"/>
    </font>
    <font>
      <b/>
      <sz val="11"/>
      <color theme="1"/>
      <name val="Aptos"/>
    </font>
    <font>
      <u/>
      <sz val="11"/>
      <color theme="10"/>
      <name val="Calibri"/>
      <scheme val="minor"/>
    </font>
    <font>
      <b/>
      <sz val="11"/>
      <color theme="1"/>
      <name val="Segoe UI"/>
    </font>
    <font>
      <b/>
      <sz val="9"/>
      <color theme="1"/>
      <name val="Aptos"/>
    </font>
    <font>
      <b/>
      <sz val="11"/>
      <name val="Aptos"/>
    </font>
    <font>
      <b/>
      <sz val="8"/>
      <color theme="1"/>
      <name val="Arial"/>
    </font>
    <font>
      <i/>
      <sz val="8"/>
      <color rgb="FFA6A6A6"/>
      <name val="Arial"/>
    </font>
    <font>
      <sz val="8"/>
      <color rgb="FF000000"/>
      <name val="Arial"/>
    </font>
    <font>
      <i/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EBF0FA"/>
        <bgColor rgb="FFEBF0FA"/>
      </patternFill>
    </fill>
    <fill>
      <patternFill patternType="solid">
        <fgColor rgb="FFC6EFCE"/>
        <bgColor rgb="FFC6EFCE"/>
      </patternFill>
    </fill>
    <fill>
      <patternFill patternType="solid">
        <fgColor theme="4"/>
        <bgColor theme="4"/>
      </patternFill>
    </fill>
    <fill>
      <patternFill patternType="solid">
        <fgColor rgb="FFFCE4D6"/>
        <bgColor rgb="FFFCE4D6"/>
      </patternFill>
    </fill>
    <fill>
      <patternFill patternType="solid">
        <fgColor rgb="FFD9E2F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BFBFBF"/>
      </right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/>
      <bottom style="medium">
        <color rgb="FF1F38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176">
    <xf numFmtId="0" fontId="0" fillId="0" borderId="0" xfId="0" applyFont="1" applyAlignme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2" fillId="0" borderId="0" xfId="0" applyFont="1" applyAlignment="1"/>
    <xf numFmtId="49" fontId="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17" fontId="11" fillId="4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/>
    <xf numFmtId="0" fontId="12" fillId="6" borderId="1" xfId="0" applyFont="1" applyFill="1" applyBorder="1"/>
    <xf numFmtId="0" fontId="14" fillId="0" borderId="0" xfId="0" applyFont="1"/>
    <xf numFmtId="0" fontId="15" fillId="7" borderId="2" xfId="0" applyFont="1" applyFill="1" applyBorder="1" applyAlignment="1">
      <alignment horizontal="left" wrapText="1"/>
    </xf>
    <xf numFmtId="0" fontId="15" fillId="2" borderId="2" xfId="0" applyFont="1" applyFill="1" applyBorder="1" applyAlignment="1">
      <alignment horizont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left" wrapText="1"/>
    </xf>
    <xf numFmtId="0" fontId="8" fillId="5" borderId="2" xfId="0" applyFont="1" applyFill="1" applyBorder="1" applyAlignment="1">
      <alignment horizontal="left" wrapText="1"/>
    </xf>
    <xf numFmtId="0" fontId="13" fillId="5" borderId="0" xfId="0" applyFont="1" applyFill="1"/>
    <xf numFmtId="0" fontId="8" fillId="6" borderId="7" xfId="0" applyFont="1" applyFill="1" applyBorder="1" applyAlignment="1">
      <alignment horizontal="left" wrapText="1"/>
    </xf>
    <xf numFmtId="0" fontId="8" fillId="3" borderId="2" xfId="0" applyFont="1" applyFill="1" applyBorder="1" applyAlignment="1">
      <alignment horizontal="left" wrapText="1"/>
    </xf>
    <xf numFmtId="0" fontId="13" fillId="6" borderId="0" xfId="0" applyFont="1" applyFill="1"/>
    <xf numFmtId="0" fontId="13" fillId="6" borderId="0" xfId="0" applyFont="1" applyFill="1" applyAlignment="1"/>
    <xf numFmtId="0" fontId="15" fillId="2" borderId="2" xfId="0" applyFont="1" applyFill="1" applyBorder="1" applyAlignment="1">
      <alignment horizontal="left" wrapText="1"/>
    </xf>
    <xf numFmtId="0" fontId="11" fillId="4" borderId="8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8" borderId="2" xfId="0" applyFont="1" applyFill="1" applyBorder="1" applyAlignment="1">
      <alignment horizontal="center" vertical="top" wrapText="1"/>
    </xf>
    <xf numFmtId="0" fontId="8" fillId="10" borderId="2" xfId="0" applyFont="1" applyFill="1" applyBorder="1" applyAlignment="1">
      <alignment horizontal="center" vertical="top" wrapText="1"/>
    </xf>
    <xf numFmtId="0" fontId="9" fillId="0" borderId="0" xfId="0" applyFont="1" applyAlignment="1">
      <alignment wrapText="1"/>
    </xf>
    <xf numFmtId="0" fontId="0" fillId="0" borderId="1" xfId="0" applyFont="1" applyBorder="1" applyAlignment="1"/>
    <xf numFmtId="0" fontId="0" fillId="0" borderId="0" xfId="0" applyFont="1" applyAlignment="1">
      <alignment horizontal="center"/>
    </xf>
    <xf numFmtId="1" fontId="0" fillId="0" borderId="0" xfId="0" applyNumberFormat="1" applyFont="1" applyAlignment="1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wrapText="1"/>
    </xf>
    <xf numFmtId="0" fontId="1" fillId="0" borderId="0" xfId="0" applyFont="1" applyAlignment="1"/>
    <xf numFmtId="169" fontId="0" fillId="0" borderId="0" xfId="0" applyNumberFormat="1" applyFont="1" applyAlignment="1">
      <alignment horizontal="center"/>
    </xf>
    <xf numFmtId="15" fontId="0" fillId="0" borderId="0" xfId="0" applyNumberFormat="1" applyFont="1" applyAlignment="1"/>
    <xf numFmtId="17" fontId="0" fillId="0" borderId="0" xfId="0" applyNumberFormat="1" applyFont="1" applyAlignment="1"/>
    <xf numFmtId="0" fontId="17" fillId="12" borderId="0" xfId="0" applyFont="1" applyFill="1" applyAlignment="1">
      <alignment horizontal="center" vertical="center"/>
    </xf>
    <xf numFmtId="17" fontId="1" fillId="0" borderId="0" xfId="0" applyNumberFormat="1" applyFont="1" applyAlignment="1"/>
    <xf numFmtId="15" fontId="1" fillId="0" borderId="0" xfId="0" applyNumberFormat="1" applyFont="1" applyAlignment="1"/>
    <xf numFmtId="0" fontId="26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15" fontId="1" fillId="0" borderId="0" xfId="0" applyNumberFormat="1" applyFont="1" applyAlignment="1">
      <alignment horizontal="left"/>
    </xf>
    <xf numFmtId="15" fontId="0" fillId="0" borderId="0" xfId="0" applyNumberFormat="1" applyFont="1" applyAlignment="1">
      <alignment horizontal="left"/>
    </xf>
    <xf numFmtId="16" fontId="0" fillId="0" borderId="0" xfId="0" applyNumberFormat="1" applyFont="1" applyAlignment="1"/>
    <xf numFmtId="0" fontId="27" fillId="0" borderId="0" xfId="0" applyFont="1" applyAlignment="1"/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left" vertical="center"/>
    </xf>
    <xf numFmtId="0" fontId="31" fillId="14" borderId="0" xfId="0" applyFont="1" applyFill="1" applyAlignment="1">
      <alignment horizontal="left" vertical="center"/>
    </xf>
    <xf numFmtId="0" fontId="32" fillId="14" borderId="0" xfId="0" applyFont="1" applyFill="1" applyAlignment="1"/>
    <xf numFmtId="0" fontId="32" fillId="14" borderId="0" xfId="0" applyFont="1" applyFill="1" applyAlignment="1">
      <alignment wrapText="1"/>
    </xf>
    <xf numFmtId="0" fontId="16" fillId="20" borderId="3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16" fillId="23" borderId="3" xfId="0" applyFont="1" applyFill="1" applyBorder="1" applyAlignment="1">
      <alignment horizontal="center" vertical="center" wrapText="1"/>
    </xf>
    <xf numFmtId="14" fontId="16" fillId="13" borderId="3" xfId="0" applyNumberFormat="1" applyFont="1" applyFill="1" applyBorder="1" applyAlignment="1">
      <alignment horizontal="center" vertical="center" wrapText="1"/>
    </xf>
    <xf numFmtId="14" fontId="16" fillId="23" borderId="3" xfId="0" applyNumberFormat="1" applyFont="1" applyFill="1" applyBorder="1" applyAlignment="1">
      <alignment horizontal="center" vertical="center" wrapText="1"/>
    </xf>
    <xf numFmtId="0" fontId="16" fillId="23" borderId="4" xfId="0" applyFont="1" applyFill="1" applyBorder="1" applyAlignment="1">
      <alignment horizontal="center" vertical="center" wrapText="1"/>
    </xf>
    <xf numFmtId="0" fontId="33" fillId="7" borderId="9" xfId="0" applyFont="1" applyFill="1" applyBorder="1" applyAlignment="1">
      <alignment horizontal="left" vertical="center" wrapText="1"/>
    </xf>
    <xf numFmtId="0" fontId="33" fillId="7" borderId="9" xfId="0" applyFont="1" applyFill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33" fillId="21" borderId="9" xfId="0" applyFont="1" applyFill="1" applyBorder="1" applyAlignment="1">
      <alignment horizontal="center" vertical="center" wrapText="1"/>
    </xf>
    <xf numFmtId="0" fontId="33" fillId="22" borderId="9" xfId="0" applyFont="1" applyFill="1" applyBorder="1" applyAlignment="1">
      <alignment horizontal="center" vertical="center" wrapText="1"/>
    </xf>
    <xf numFmtId="0" fontId="32" fillId="22" borderId="9" xfId="0" applyFont="1" applyFill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 wrapText="1"/>
    </xf>
    <xf numFmtId="166" fontId="33" fillId="21" borderId="9" xfId="0" applyNumberFormat="1" applyFont="1" applyFill="1" applyBorder="1" applyAlignment="1">
      <alignment horizontal="center" vertical="center" wrapText="1"/>
    </xf>
    <xf numFmtId="14" fontId="32" fillId="22" borderId="9" xfId="0" applyNumberFormat="1" applyFont="1" applyFill="1" applyBorder="1" applyAlignment="1">
      <alignment horizontal="center" vertical="center" wrapText="1"/>
    </xf>
    <xf numFmtId="14" fontId="33" fillId="21" borderId="9" xfId="0" applyNumberFormat="1" applyFont="1" applyFill="1" applyBorder="1" applyAlignment="1">
      <alignment horizontal="center" vertical="center" wrapText="1"/>
    </xf>
    <xf numFmtId="0" fontId="33" fillId="3" borderId="9" xfId="0" applyFont="1" applyFill="1" applyBorder="1" applyAlignment="1">
      <alignment horizontal="left" vertical="center" wrapText="1"/>
    </xf>
    <xf numFmtId="0" fontId="32" fillId="0" borderId="1" xfId="0" applyFont="1" applyBorder="1" applyAlignment="1"/>
    <xf numFmtId="0" fontId="36" fillId="24" borderId="0" xfId="0" applyFont="1" applyFill="1" applyAlignment="1">
      <alignment horizontal="center"/>
    </xf>
    <xf numFmtId="0" fontId="36" fillId="18" borderId="0" xfId="0" applyFont="1" applyFill="1" applyAlignment="1">
      <alignment horizontal="center"/>
    </xf>
    <xf numFmtId="0" fontId="36" fillId="25" borderId="0" xfId="0" applyFont="1" applyFill="1" applyAlignment="1">
      <alignment horizontal="center"/>
    </xf>
    <xf numFmtId="0" fontId="36" fillId="26" borderId="0" xfId="0" applyFont="1" applyFill="1" applyAlignment="1">
      <alignment horizontal="center"/>
    </xf>
    <xf numFmtId="0" fontId="36" fillId="27" borderId="0" xfId="0" applyFont="1" applyFill="1" applyAlignment="1">
      <alignment horizontal="center"/>
    </xf>
    <xf numFmtId="0" fontId="36" fillId="28" borderId="0" xfId="0" applyFont="1" applyFill="1" applyAlignment="1">
      <alignment horizontal="center"/>
    </xf>
    <xf numFmtId="0" fontId="36" fillId="29" borderId="0" xfId="0" applyFont="1" applyFill="1" applyAlignment="1">
      <alignment horizontal="center"/>
    </xf>
    <xf numFmtId="0" fontId="32" fillId="0" borderId="0" xfId="0" applyFont="1" applyAlignment="1"/>
    <xf numFmtId="0" fontId="32" fillId="22" borderId="9" xfId="0" applyFont="1" applyFill="1" applyBorder="1" applyAlignment="1">
      <alignment vertical="center" wrapText="1"/>
    </xf>
    <xf numFmtId="0" fontId="0" fillId="30" borderId="0" xfId="0" applyFont="1" applyFill="1" applyAlignment="1"/>
    <xf numFmtId="0" fontId="0" fillId="3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6" fillId="0" borderId="0" xfId="0" applyFont="1" applyAlignment="1">
      <alignment horizontal="center" wrapText="1"/>
    </xf>
    <xf numFmtId="0" fontId="0" fillId="31" borderId="0" xfId="0" applyFont="1" applyFill="1" applyAlignment="1"/>
    <xf numFmtId="0" fontId="10" fillId="0" borderId="1" xfId="0" applyFont="1" applyBorder="1" applyAlignment="1">
      <alignment horizontal="center" vertical="center" wrapText="1"/>
    </xf>
    <xf numFmtId="0" fontId="39" fillId="7" borderId="9" xfId="0" applyFont="1" applyFill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0" fontId="41" fillId="7" borderId="2" xfId="0" applyFont="1" applyFill="1" applyBorder="1" applyAlignment="1">
      <alignment horizontal="center" wrapText="1"/>
    </xf>
    <xf numFmtId="0" fontId="41" fillId="2" borderId="2" xfId="0" applyFont="1" applyFill="1" applyBorder="1" applyAlignment="1">
      <alignment horizontal="center" wrapText="1"/>
    </xf>
    <xf numFmtId="0" fontId="32" fillId="22" borderId="9" xfId="0" applyFont="1" applyFill="1" applyBorder="1" applyAlignment="1">
      <alignment horizontal="left" vertical="center" wrapText="1"/>
    </xf>
    <xf numFmtId="0" fontId="32" fillId="21" borderId="9" xfId="0" applyFont="1" applyFill="1" applyBorder="1" applyAlignment="1">
      <alignment horizontal="left" vertical="center" wrapText="1"/>
    </xf>
    <xf numFmtId="165" fontId="32" fillId="22" borderId="9" xfId="0" applyNumberFormat="1" applyFont="1" applyFill="1" applyBorder="1" applyAlignment="1">
      <alignment horizontal="left" vertical="center" wrapText="1"/>
    </xf>
    <xf numFmtId="0" fontId="34" fillId="21" borderId="9" xfId="0" applyFont="1" applyFill="1" applyBorder="1" applyAlignment="1">
      <alignment horizontal="left" vertical="center" wrapText="1"/>
    </xf>
    <xf numFmtId="0" fontId="34" fillId="22" borderId="9" xfId="0" applyFont="1" applyFill="1" applyBorder="1" applyAlignment="1">
      <alignment horizontal="left" vertical="center" wrapText="1"/>
    </xf>
    <xf numFmtId="14" fontId="32" fillId="21" borderId="9" xfId="0" applyNumberFormat="1" applyFont="1" applyFill="1" applyBorder="1" applyAlignment="1">
      <alignment horizontal="left" vertical="center" wrapText="1"/>
    </xf>
    <xf numFmtId="0" fontId="1" fillId="11" borderId="11" xfId="0" applyFont="1" applyFill="1" applyBorder="1" applyAlignment="1">
      <alignment horizontal="center" wrapText="1"/>
    </xf>
    <xf numFmtId="0" fontId="1" fillId="11" borderId="11" xfId="0" applyFont="1" applyFill="1" applyBorder="1" applyAlignment="1">
      <alignment horizontal="center"/>
    </xf>
    <xf numFmtId="1" fontId="1" fillId="33" borderId="11" xfId="0" applyNumberFormat="1" applyFont="1" applyFill="1" applyBorder="1" applyAlignment="1">
      <alignment horizontal="center" wrapText="1"/>
    </xf>
    <xf numFmtId="1" fontId="1" fillId="33" borderId="11" xfId="0" applyNumberFormat="1" applyFont="1" applyFill="1" applyBorder="1" applyAlignment="1">
      <alignment horizontal="center"/>
    </xf>
    <xf numFmtId="1" fontId="1" fillId="18" borderId="11" xfId="0" applyNumberFormat="1" applyFont="1" applyFill="1" applyBorder="1" applyAlignment="1">
      <alignment horizontal="center" wrapText="1"/>
    </xf>
    <xf numFmtId="1" fontId="1" fillId="18" borderId="11" xfId="0" applyNumberFormat="1" applyFont="1" applyFill="1" applyBorder="1" applyAlignment="1">
      <alignment horizontal="center"/>
    </xf>
    <xf numFmtId="1" fontId="1" fillId="26" borderId="11" xfId="0" applyNumberFormat="1" applyFont="1" applyFill="1" applyBorder="1" applyAlignment="1">
      <alignment horizontal="center" wrapText="1"/>
    </xf>
    <xf numFmtId="1" fontId="1" fillId="26" borderId="11" xfId="0" applyNumberFormat="1" applyFont="1" applyFill="1" applyBorder="1" applyAlignment="1">
      <alignment horizontal="center"/>
    </xf>
    <xf numFmtId="0" fontId="0" fillId="0" borderId="0" xfId="0" applyFont="1" applyAlignment="1"/>
    <xf numFmtId="0" fontId="0" fillId="30" borderId="0" xfId="0" applyFont="1" applyFill="1" applyAlignment="1">
      <alignment horizontal="center"/>
    </xf>
    <xf numFmtId="0" fontId="0" fillId="0" borderId="0" xfId="0" applyFont="1" applyAlignment="1">
      <alignment horizontal="left" wrapText="1"/>
    </xf>
    <xf numFmtId="0" fontId="1" fillId="11" borderId="11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30" borderId="0" xfId="0" applyFont="1" applyFill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0" fillId="0" borderId="0" xfId="0" applyFont="1" applyAlignment="1"/>
    <xf numFmtId="0" fontId="12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2" fillId="6" borderId="1" xfId="0" applyFont="1" applyFill="1" applyBorder="1" applyAlignment="1">
      <alignment horizontal="center" wrapText="1"/>
    </xf>
    <xf numFmtId="0" fontId="0" fillId="0" borderId="0" xfId="0" applyFont="1" applyAlignment="1"/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 wrapText="1"/>
    </xf>
    <xf numFmtId="0" fontId="38" fillId="0" borderId="0" xfId="0" applyFont="1" applyFill="1" applyAlignment="1">
      <alignment horizontal="left" wrapText="1"/>
    </xf>
    <xf numFmtId="0" fontId="37" fillId="0" borderId="0" xfId="1" applyFill="1" applyAlignment="1">
      <alignment horizontal="left" wrapText="1"/>
    </xf>
    <xf numFmtId="0" fontId="0" fillId="0" borderId="10" xfId="0" applyFont="1" applyFill="1" applyBorder="1" applyAlignment="1"/>
    <xf numFmtId="0" fontId="42" fillId="29" borderId="2" xfId="0" applyFont="1" applyFill="1" applyBorder="1" applyAlignment="1">
      <alignment horizontal="center" wrapText="1"/>
    </xf>
    <xf numFmtId="0" fontId="43" fillId="18" borderId="2" xfId="0" applyFont="1" applyFill="1" applyBorder="1" applyAlignment="1">
      <alignment horizontal="center" wrapText="1"/>
    </xf>
    <xf numFmtId="0" fontId="44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9" fillId="0" borderId="1" xfId="0" applyFont="1" applyBorder="1" applyAlignment="1"/>
    <xf numFmtId="170" fontId="0" fillId="0" borderId="0" xfId="0" applyNumberFormat="1" applyFont="1" applyAlignment="1"/>
    <xf numFmtId="0" fontId="4" fillId="0" borderId="0" xfId="0" applyFont="1" applyAlignment="1">
      <alignment horizontal="left" vertical="center"/>
    </xf>
    <xf numFmtId="0" fontId="0" fillId="0" borderId="0" xfId="0" applyFont="1" applyAlignment="1"/>
    <xf numFmtId="0" fontId="6" fillId="0" borderId="0" xfId="0" applyFont="1" applyAlignment="1"/>
    <xf numFmtId="0" fontId="18" fillId="15" borderId="1" xfId="0" applyFont="1" applyFill="1" applyBorder="1" applyAlignment="1">
      <alignment horizontal="left" vertical="center"/>
    </xf>
    <xf numFmtId="0" fontId="20" fillId="0" borderId="1" xfId="0" applyFont="1" applyBorder="1" applyAlignment="1"/>
    <xf numFmtId="0" fontId="23" fillId="13" borderId="1" xfId="0" applyFont="1" applyFill="1" applyBorder="1" applyAlignment="1">
      <alignment vertical="center"/>
    </xf>
    <xf numFmtId="0" fontId="24" fillId="18" borderId="1" xfId="0" applyFont="1" applyFill="1" applyBorder="1" applyAlignment="1">
      <alignment vertical="center" wrapText="1"/>
    </xf>
    <xf numFmtId="168" fontId="22" fillId="17" borderId="1" xfId="0" applyNumberFormat="1" applyFont="1" applyFill="1" applyBorder="1" applyAlignment="1">
      <alignment horizontal="center" vertical="center"/>
    </xf>
    <xf numFmtId="1" fontId="22" fillId="17" borderId="1" xfId="0" applyNumberFormat="1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/>
    <xf numFmtId="0" fontId="18" fillId="15" borderId="1" xfId="0" applyFont="1" applyFill="1" applyBorder="1" applyAlignment="1">
      <alignment vertical="center"/>
    </xf>
    <xf numFmtId="0" fontId="17" fillId="19" borderId="1" xfId="0" applyFont="1" applyFill="1" applyBorder="1" applyAlignment="1">
      <alignment horizontal="center"/>
    </xf>
    <xf numFmtId="0" fontId="22" fillId="16" borderId="1" xfId="0" applyFont="1" applyFill="1" applyBorder="1" applyAlignment="1">
      <alignment horizontal="center"/>
    </xf>
    <xf numFmtId="0" fontId="25" fillId="0" borderId="1" xfId="0" applyFont="1" applyBorder="1" applyAlignment="1">
      <alignment wrapText="1"/>
    </xf>
    <xf numFmtId="0" fontId="18" fillId="15" borderId="1" xfId="0" applyFont="1" applyFill="1" applyBorder="1" applyAlignment="1"/>
    <xf numFmtId="0" fontId="19" fillId="0" borderId="1" xfId="0" applyFont="1" applyBorder="1" applyAlignment="1"/>
    <xf numFmtId="0" fontId="17" fillId="19" borderId="1" xfId="0" applyFont="1" applyFill="1" applyBorder="1" applyAlignment="1"/>
    <xf numFmtId="0" fontId="17" fillId="32" borderId="0" xfId="0" applyFont="1" applyFill="1" applyAlignment="1">
      <alignment horizontal="left" vertical="center"/>
    </xf>
    <xf numFmtId="0" fontId="17" fillId="32" borderId="0" xfId="0" applyFont="1" applyFill="1" applyAlignment="1">
      <alignment vertical="center"/>
    </xf>
    <xf numFmtId="0" fontId="17" fillId="32" borderId="1" xfId="0" applyFont="1" applyFill="1" applyBorder="1" applyAlignment="1">
      <alignment vertical="center"/>
    </xf>
    <xf numFmtId="0" fontId="29" fillId="15" borderId="1" xfId="0" applyFont="1" applyFill="1" applyBorder="1" applyAlignment="1">
      <alignment horizontal="left" vertical="center"/>
    </xf>
    <xf numFmtId="0" fontId="30" fillId="16" borderId="1" xfId="0" applyFont="1" applyFill="1" applyBorder="1" applyAlignment="1">
      <alignment wrapText="1"/>
    </xf>
    <xf numFmtId="0" fontId="35" fillId="13" borderId="1" xfId="0" applyFont="1" applyFill="1" applyBorder="1" applyAlignment="1"/>
    <xf numFmtId="0" fontId="39" fillId="2" borderId="9" xfId="0" applyFont="1" applyFill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left" vertical="center" wrapText="1"/>
    </xf>
    <xf numFmtId="0" fontId="34" fillId="0" borderId="9" xfId="0" applyFont="1" applyBorder="1" applyAlignment="1">
      <alignment horizontal="left" vertical="center" wrapText="1"/>
    </xf>
    <xf numFmtId="0" fontId="32" fillId="22" borderId="12" xfId="0" applyFont="1" applyFill="1" applyBorder="1" applyAlignment="1">
      <alignment vertical="center" wrapText="1"/>
    </xf>
    <xf numFmtId="0" fontId="32" fillId="22" borderId="13" xfId="0" applyFont="1" applyFill="1" applyBorder="1" applyAlignment="1">
      <alignment vertical="center" wrapText="1"/>
    </xf>
    <xf numFmtId="0" fontId="32" fillId="22" borderId="12" xfId="0" applyFont="1" applyFill="1" applyBorder="1" applyAlignment="1">
      <alignment horizontal="left" vertical="center" wrapText="1"/>
    </xf>
    <xf numFmtId="0" fontId="32" fillId="22" borderId="13" xfId="0" applyFont="1" applyFill="1" applyBorder="1" applyAlignment="1">
      <alignment horizontal="left" vertical="center" wrapText="1"/>
    </xf>
    <xf numFmtId="0" fontId="13" fillId="6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226"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sz val="9"/>
        <name val="Arial"/>
        <scheme val="none"/>
      </font>
      <alignment horizontal="center" vertical="top" textRotation="0" wrapText="1" indent="0" justifyLastLine="0" shrinkToFit="0" readingOrder="0"/>
    </dxf>
    <dxf>
      <font>
        <sz val="9"/>
        <name val="Arial"/>
        <scheme val="none"/>
      </font>
      <alignment horizontal="center" vertical="top" textRotation="0" wrapText="1" indent="0" justifyLastLine="0" shrinkToFit="0" readingOrder="0"/>
    </dxf>
    <dxf>
      <font>
        <sz val="9"/>
        <name val="Arial"/>
        <scheme val="none"/>
      </font>
      <alignment horizontal="center" vertical="top" textRotation="0" wrapText="1" indent="0" justifyLastLine="0" shrinkToFit="0" readingOrder="0"/>
    </dxf>
    <dxf>
      <font>
        <sz val="9"/>
        <name val="Arial"/>
        <scheme val="none"/>
      </font>
      <alignment horizontal="center" vertical="top" textRotation="0" wrapText="1" indent="0" justifyLastLine="0" shrinkToFit="0" readingOrder="0"/>
    </dxf>
    <dxf>
      <font>
        <sz val="9"/>
        <name val="Arial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top" textRotation="0" wrapText="1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</border>
    </dxf>
    <dxf>
      <font>
        <b/>
      </font>
      <alignment horizontal="center"/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font>
        <color rgb="FF000000"/>
        <name val="Arial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1" indent="0" justifyLastLine="0" shrinkToFit="0" readingOrder="0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/>
    </dxf>
    <dxf>
      <font>
        <b/>
      </font>
      <alignment horizontal="center"/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alignment wrapText="1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alignment horizontal="left" vertical="bottom" wrapText="1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1" formatCode="d\-mmm"/>
      <alignment horizontal="general" vertical="bottom" textRotation="0" wrapText="0" indent="0" justifyLastLine="0" shrinkToFit="0" readingOrder="0"/>
    </dxf>
    <dxf>
      <font>
        <b/>
        <i val="0"/>
        <color rgb="FF5F497A"/>
      </font>
      <fill>
        <patternFill patternType="solid">
          <bgColor theme="7" tint="0.39997558519241921"/>
        </patternFill>
      </fill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alignment wrapText="1"/>
    </dxf>
    <dxf>
      <numFmt numFmtId="0" formatCode="General"/>
    </dxf>
    <dxf>
      <numFmt numFmtId="1" formatCode="0"/>
    </dxf>
    <dxf>
      <numFmt numFmtId="170" formatCode="d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numFmt numFmtId="170" formatCode="dd\-mmm\-yy"/>
      <alignment horizontal="left"/>
    </dxf>
    <dxf>
      <alignment horizontal="center"/>
    </dxf>
    <dxf>
      <alignment wrapText="1"/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</font>
      <alignment horizontal="center"/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alignment wrapText="1"/>
    </dxf>
    <dxf>
      <alignment horizontal="center"/>
    </dxf>
    <dxf>
      <numFmt numFmtId="169" formatCode="ddd\,\ dd\ mmm"/>
      <alignment horizontal="center"/>
    </dxf>
    <dxf>
      <alignment wrapText="1"/>
    </dxf>
    <dxf>
      <numFmt numFmtId="1" formatCode="0"/>
      <alignment horizontal="center"/>
    </dxf>
    <dxf>
      <alignment horizontal="center"/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numFmt numFmtId="1" formatCode="0"/>
    </dxf>
    <dxf>
      <alignment wrapText="1"/>
    </dxf>
    <dxf>
      <numFmt numFmtId="170" formatCode="dd\-mmm\-yy"/>
    </dxf>
    <dxf>
      <alignment wrapText="1"/>
    </dxf>
    <dxf>
      <numFmt numFmtId="22" formatCode="mmm\-yy"/>
    </dxf>
    <dxf>
      <alignment horizontal="center"/>
    </dxf>
    <dxf>
      <alignment wrapText="1"/>
    </dxf>
    <dxf>
      <alignment horizontal="center"/>
    </dxf>
    <dxf>
      <numFmt numFmtId="1" formatCode="0"/>
      <alignment horizontal="center"/>
    </dxf>
    <dxf>
      <numFmt numFmtId="169" formatCode="ddd\,\ dd\ mmm"/>
      <alignment horizontal="center"/>
    </dxf>
    <dxf>
      <alignment wrapText="1"/>
    </dxf>
    <dxf>
      <alignment horizontal="center"/>
    </dxf>
    <dxf>
      <numFmt numFmtId="1" formatCode="0"/>
      <alignment horizontal="center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 vertical="center"/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color rgb="FF1F4E78"/>
      </font>
      <fill>
        <patternFill patternType="solid">
          <fgColor indexed="64"/>
          <bgColor rgb="FFD9EAF7"/>
        </patternFill>
      </fill>
    </dxf>
    <dxf>
      <font>
        <b val="0"/>
        <i val="0"/>
        <color rgb="FF9C5700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u/>
        <color rgb="FF0563C1"/>
      </font>
      <alignment horizontal="center"/>
    </dxf>
    <dxf>
      <alignment wrapText="1"/>
    </dxf>
    <dxf>
      <alignment wrapText="1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9">
    <tableStyle name="🗒 Notes to Allocate-style" pivot="0" count="4" xr9:uid="{00000000-0011-0000-FFFF-FFFF00000000}">
      <tableStyleElement type="wholeTable" size="0" dxfId="225"/>
      <tableStyleElement type="headerRow" dxfId="224"/>
      <tableStyleElement type="firstRowStripe" dxfId="223"/>
      <tableStyleElement type="secondRowStripe" dxfId="222"/>
    </tableStyle>
    <tableStyle name="📋 Dashboard-style" pivot="0" count="4" xr9:uid="{00000000-0011-0000-FFFF-FFFF01000000}">
      <tableStyleElement type="wholeTable" size="0" dxfId="221"/>
      <tableStyleElement type="headerRow" dxfId="220"/>
      <tableStyleElement type="firstRowStripe" dxfId="219"/>
      <tableStyleElement type="secondRowStripe" dxfId="218"/>
    </tableStyle>
    <tableStyle name="🗒 Notes to Allocate-style 2" pivot="0" count="4" xr9:uid="{00000000-0011-0000-FFFF-FFFF02000000}">
      <tableStyleElement type="wholeTable" size="0" dxfId="217"/>
      <tableStyleElement type="headerRow" dxfId="216"/>
      <tableStyleElement type="firstRowStripe" dxfId="215"/>
      <tableStyleElement type="secondRowStripe" dxfId="214"/>
    </tableStyle>
    <tableStyle name="📅 Daily To-Do-style" pivot="0" count="4" xr9:uid="{00000000-0011-0000-FFFF-FFFF03000000}">
      <tableStyleElement type="wholeTable" size="0" dxfId="213"/>
      <tableStyleElement type="headerRow" dxfId="212"/>
      <tableStyleElement type="firstRowStripe" dxfId="211"/>
      <tableStyleElement type="secondRowStripe" dxfId="210"/>
    </tableStyle>
    <tableStyle name="🌐 Metka BAS – Non-Group-style" pivot="0" count="4" xr9:uid="{00000000-0011-0000-FFFF-FFFF04000000}">
      <tableStyleElement type="wholeTable" size="0" dxfId="209"/>
      <tableStyleElement type="headerRow" dxfId="208"/>
      <tableStyleElement type="firstRowStripe" dxfId="207"/>
      <tableStyleElement type="secondRowStripe" dxfId="206"/>
    </tableStyle>
    <tableStyle name="📊 BAS-IAS Tracker-style" pivot="0" count="4" xr9:uid="{00000000-0011-0000-FFFF-FFFF05000000}">
      <tableStyleElement type="wholeTable" size="0" dxfId="205"/>
      <tableStyleElement type="headerRow" dxfId="204"/>
      <tableStyleElement type="firstRowStripe" dxfId="203"/>
      <tableStyleElement type="secondRowStripe" dxfId="202"/>
    </tableStyle>
    <tableStyle name="📋Management Reports-style" pivot="0" count="3" xr9:uid="{00000000-0011-0000-FFFF-FFFF06000000}">
      <tableStyleElement type="headerRow" dxfId="201"/>
      <tableStyleElement type="firstRowStripe" dxfId="200"/>
      <tableStyleElement type="secondRowStripe" dxfId="199"/>
    </tableStyle>
    <tableStyle name="📚 Bookkeeping-style" pivot="0" count="4" xr9:uid="{00000000-0011-0000-FFFF-FFFF07000000}">
      <tableStyleElement type="wholeTable" size="0" dxfId="198"/>
      <tableStyleElement type="headerRow" dxfId="197"/>
      <tableStyleElement type="firstRowStripe" dxfId="196"/>
      <tableStyleElement type="secondRowStripe" dxfId="195"/>
    </tableStyle>
    <tableStyle name="🏦 Payroll Tax-style" pivot="0" count="3" xr9:uid="{00000000-0011-0000-FFFF-FFFF08000000}">
      <tableStyleElement type="headerRow" dxfId="194"/>
      <tableStyleElement type="firstRowStripe" dxfId="193"/>
      <tableStyleElement type="secondRowStripe" dxfId="19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8466;%20Notes%20to%20Allocat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27970;%20AOS%20Control%20List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28231;%20Joanne%20Leave%20Reminder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28203;%20Process%20Note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128273;%20APS%20Clien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🗒 Notes to Allocat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🏢 AOS Control Lis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📧 Joanne Leave Reminders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📋 Process Notes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🔑 APS Clients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n Rein" id="{9A684F4D-C4C0-4FBE-8B96-81A6191A586E}" userId="fb770418f43728b5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heet_Navigation_Status" displayName="Sheet_Navigation_Status" ref="B5:F19">
  <tableColumns count="5">
    <tableColumn id="1" xr3:uid="{00000000-0010-0000-0200-000001000000}" name="#"/>
    <tableColumn id="2" xr3:uid="{00000000-0010-0000-0200-000002000000}" name="Sheet Name" dataDxfId="191"/>
    <tableColumn id="3" xr3:uid="{00000000-0010-0000-0200-000003000000}" name="Description" dataDxfId="190"/>
    <tableColumn id="4" xr3:uid="{00000000-0010-0000-0200-000004000000}" name="Link" dataDxfId="189"/>
    <tableColumn id="5" xr3:uid="{00000000-0010-0000-0200-000005000000}" name="Notes / cadence"/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3A80A-FD51-4319-BBB9-451DB643E3B8}" name="Daily_Priorities" displayName="Daily_Priorities" ref="A8:R26" totalsRowShown="0" headerRowDxfId="179">
  <autoFilter ref="A8:R26" xr:uid="{47A3A80A-FD51-4319-BBB9-451DB643E3B8}">
    <filterColumn colId="7">
      <filters>
        <filter val="Not started"/>
      </filters>
    </filterColumn>
  </autoFilter>
  <sortState xmlns:xlrd2="http://schemas.microsoft.com/office/spreadsheetml/2017/richdata2" ref="A9:R26">
    <sortCondition ref="B8:B26"/>
  </sortState>
  <tableColumns count="18">
    <tableColumn id="1" xr3:uid="{A290B4A1-0E61-4260-BCE2-EFD0A448C4D8}" name="Order" dataDxfId="178"/>
    <tableColumn id="2" xr3:uid="{13F09F9B-A9A1-4CD6-BD56-64D17190D21C}" name="Priority" dataDxfId="177"/>
    <tableColumn id="3" xr3:uid="{094C1FF1-537A-4AAB-8D5C-9633C22ECE7B}" name="Task" dataDxfId="176"/>
    <tableColumn id="4" xr3:uid="{072A24D7-F76A-484A-9257-21ACEB12F857}" name="Client / Project"/>
    <tableColumn id="5" xr3:uid="{21B8E4CD-B53B-45C5-9486-206ACF31BDD7}" name="Workstream"/>
    <tableColumn id="6" xr3:uid="{DB7DE7B8-686E-4511-BC29-4416C604783B}" name="Due date" dataDxfId="175"/>
    <tableColumn id="7" xr3:uid="{A8BDDDB3-0C4C-408A-A9C0-F538FACD54C5}" name="Est. min" dataDxfId="174"/>
    <tableColumn id="8" xr3:uid="{186F7649-5C92-47B4-BCB0-D5D70ED1FF52}" name="Status" dataDxfId="173"/>
    <tableColumn id="9" xr3:uid="{8567AB58-1457-4E83-9454-9EED726B9817}" name="Next action / Notes" dataDxfId="172"/>
    <tableColumn id="10" xr3:uid="{2FE8209F-B60C-4480-BFCB-E847B93FAD01}" name="Carry over?" dataDxfId="171"/>
    <tableColumn id="11" xr3:uid="{6B62A08D-726F-4282-B688-F6EFFB95915D}" name="Owner"/>
    <tableColumn id="12" xr3:uid="{B48FDC3D-9A98-451E-98FF-BEF646B3FEFC}" name="Reviewer"/>
    <tableColumn id="13" xr3:uid="{FCFFA7C4-320E-4034-8641-984883BF9844}" name="Reporting period" dataDxfId="170"/>
    <tableColumn id="14" xr3:uid="{D774E323-065C-418E-A39F-F450072A0541}" name="Waiting on" dataDxfId="169"/>
    <tableColumn id="15" xr3:uid="{791D6EBF-0173-42F7-BE98-F88F6A4EDAFF}" name="Completion date" dataDxfId="168"/>
    <tableColumn id="16" xr3:uid="{9E197726-1B8C-4C43-BB79-C08ECB588CEC}" name="Recurring?"/>
    <tableColumn id="17" xr3:uid="{50392C39-98B5-4D15-B907-3377EEC7F468}" name="Source sheet" dataDxfId="167"/>
    <tableColumn id="18" xr3:uid="{0EDE86E8-5889-4D3C-84E0-E9B6ED82E81E}" name="Days overdue" dataDxfId="166">
      <calculatedColumnFormula>IF(OR(Daily_Priorities[[#This Row],[Task]]="",Daily_Priorities[[#This Row],[Due date]]="",Daily_Priorities[[#This Row],[Status]]="Done",Daily_Priorities[[#This Row],[Status]]="Not applicable"),"",MAX(0,TODAY()-Daily_Priorities[[#This Row],[Due date]]))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A246BA-8B02-4C77-B374-079AB0974191}" name="Personal_Appointment_Checklist" displayName="Personal_Appointment_Checklist" ref="A7:F12" totalsRowShown="0" headerRowDxfId="159">
  <autoFilter ref="A7:F12" xr:uid="{9AA246BA-8B02-4C77-B374-079AB0974191}"/>
  <tableColumns count="6">
    <tableColumn id="1" xr3:uid="{EABB4FBD-196B-4CAF-ABB3-D02EF0811A7D}" name="Order" dataDxfId="158"/>
    <tableColumn id="2" xr3:uid="{356E8557-0FB5-4739-A4DF-E109320CC3CA}" name="Category"/>
    <tableColumn id="3" xr3:uid="{F24F8849-14E8-4BFA-BFFA-71B0929396B2}" name="Task" dataDxfId="157"/>
    <tableColumn id="4" xr3:uid="{0AC9DE2B-AB80-48A6-9979-3E424B47015F}" name="Due date" dataDxfId="156"/>
    <tableColumn id="5" xr3:uid="{4F220FE7-81B0-40C7-90C1-4CECAF5932A1}" name="Status" dataDxfId="155"/>
    <tableColumn id="6" xr3:uid="{E898C06E-5744-4C7B-ACB3-CF0A45CCF99D}" name="Notes" dataDxfId="1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2" displayName="Table2" ref="A3:AG12">
  <tableColumns count="33">
    <tableColumn id="1" xr3:uid="{00000000-0010-0000-0700-000001000000}" name="Client" dataDxfId="129"/>
    <tableColumn id="14" xr3:uid="{A2D45EF0-D381-40F2-BF32-ACDE1A6121AE}" name="Notes" dataDxfId="128"/>
    <tableColumn id="2" xr3:uid="{00000000-0010-0000-0700-000002000000}" name="Software"/>
    <tableColumn id="18" xr3:uid="{E66B62CA-C023-4ED2-A3D7-D38BB29894A2}" name="Jul26 W1" dataDxfId="127"/>
    <tableColumn id="19" xr3:uid="{2CF508D6-4349-4577-9CA1-FB08FA2897CF}" name="Jul26 W2" dataDxfId="126"/>
    <tableColumn id="20" xr3:uid="{F3AFF1F5-7A03-45B5-9E45-7965EE1558B6}" name="Jul26 W3" dataDxfId="125"/>
    <tableColumn id="21" xr3:uid="{CF27A277-F1C0-421F-BAB3-FDC3516B7D9D}" name="Jul26 W4" dataDxfId="124"/>
    <tableColumn id="22" xr3:uid="{CAEB3FBA-707B-4345-B746-ECB8B4107674}" name="Jul26 W5" dataDxfId="123"/>
    <tableColumn id="23" xr3:uid="{7900B799-D028-467D-9F0D-2C8ACFDD0CE9}" name="Aug26 W1" dataDxfId="122"/>
    <tableColumn id="24" xr3:uid="{CA090EFE-7C5D-4101-8504-A05EC03151AA}" name="Aug26 W2" dataDxfId="121"/>
    <tableColumn id="25" xr3:uid="{0C5603C4-5D4D-44C3-BD18-8CC45C2480E8}" name="Aug26 W3" dataDxfId="120"/>
    <tableColumn id="26" xr3:uid="{26763DE8-3FF3-4FBE-9FFA-39688EDAAF4D}" name="Aug26 W4" dataDxfId="119"/>
    <tableColumn id="27" xr3:uid="{0B279317-BB88-4DDD-8941-947F450D1A0B}" name="Aug26 W5" dataDxfId="118"/>
    <tableColumn id="28" xr3:uid="{E0C35801-B84F-4E2B-9E52-584E377D1122}" name="Sep26 W1" dataDxfId="117"/>
    <tableColumn id="29" xr3:uid="{EBF4EFD5-89D8-4BF4-8D2D-5ED52B4C4F7D}" name="Sep26 W2" dataDxfId="116"/>
    <tableColumn id="30" xr3:uid="{23733DD4-40F6-4205-AFB7-806726FB40A6}" name="Sep26 W3" dataDxfId="115"/>
    <tableColumn id="31" xr3:uid="{7AC2EF51-CDBB-4377-B401-90B9858B3545}" name="Sep26 W4" dataDxfId="114"/>
    <tableColumn id="32" xr3:uid="{B081A0A4-FB4E-499A-BC67-79B775919105}" name="Sep26 W5" dataDxfId="113"/>
    <tableColumn id="15" xr3:uid="{C575A3FA-891F-42C7-BFFE-07722916596D}" name="Oct26 W1" dataDxfId="112"/>
    <tableColumn id="16" xr3:uid="{A587C3D3-B6F7-41E1-A931-A106C568AFBE}" name="Oct26 W2" dataDxfId="111"/>
    <tableColumn id="17" xr3:uid="{65C3ED2F-36E1-492F-A541-34F5572FA976}" name="Oct26 W3" dataDxfId="110"/>
    <tableColumn id="33" xr3:uid="{02F018E3-9E7B-43A8-90D0-15C959DEDCF8}" name="Oct26 W4" dataDxfId="109"/>
    <tableColumn id="34" xr3:uid="{64A975FE-DA5B-4FB9-AA29-E8BA7E798F0C}" name="Oct26 W5" dataDxfId="108"/>
    <tableColumn id="35" xr3:uid="{99551A16-4B7F-48DE-B676-54E59D58EF56}" name="Nov26 W1" dataDxfId="107"/>
    <tableColumn id="36" xr3:uid="{67228A66-1AB6-49F8-982E-CA985174A280}" name="Nov26 W2" dataDxfId="106"/>
    <tableColumn id="37" xr3:uid="{678DE6F0-E396-45D9-9ACC-87BC1C4461AD}" name="Nov26 W3" dataDxfId="105"/>
    <tableColumn id="38" xr3:uid="{15EFF282-86E3-4D45-9ECC-AAB00745EC59}" name="Nov26 W4" dataDxfId="104"/>
    <tableColumn id="39" xr3:uid="{05DF8AEB-5D02-40FC-9031-38B132C5E0F2}" name="Nov26 W5" dataDxfId="103"/>
    <tableColumn id="40" xr3:uid="{3222AAF9-BBB7-43E5-B073-76970239CE16}" name="Dec26 W1" dataDxfId="102"/>
    <tableColumn id="41" xr3:uid="{B67AC6B6-5320-4FDB-BFD8-AE2D88889B92}" name="Dec26 W2" dataDxfId="101"/>
    <tableColumn id="42" xr3:uid="{FE97186A-09E0-44E0-B206-E73BF0024580}" name="Dec26 W3" dataDxfId="100"/>
    <tableColumn id="43" xr3:uid="{3E8AFCB5-612F-410A-9633-6E171DF94282}" name="Dec26 W4" dataDxfId="99"/>
    <tableColumn id="44" xr3:uid="{030DBFF0-BC55-4E69-BA29-5EC179BF7B8A}" name="Dec26 W5" dataDxfId="98"/>
  </tableColumns>
  <tableStyleInfo name="📚 Bookkeeping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446658-5F82-4E7D-ADE1-2B2C77AC5FF1}" name="Metka_August_BAS" displayName="Metka_August_BAS" ref="A10:M30" totalsRowShown="0">
  <autoFilter ref="A10:M30" xr:uid="{5C446658-5F82-4E7D-ADE1-2B2C77AC5FF1}"/>
  <tableColumns count="13">
    <tableColumn id="1" xr3:uid="{BC8B3AD1-AB5F-4C3A-85FD-1E8FE4E680ED}" name="Entity" dataDxfId="78"/>
    <tableColumn id="2" xr3:uid="{5603E999-9EC6-480A-8E38-6C3EDFE39FBF}" name="Tax registration"/>
    <tableColumn id="3" xr3:uid="{BDA6BFCE-5981-4B84-81BE-588816722F83}" name="Owner" dataDxfId="77"/>
    <tableColumn id="4" xr3:uid="{CD943E66-C7EA-4802-886F-EEC4C51019C5}" name="Due date" dataDxfId="76">
      <calculatedColumnFormula>$D$4</calculatedColumnFormula>
    </tableColumn>
    <tableColumn id="5" xr3:uid="{BE6C0899-A961-4BA7-BE31-2EFCF585C326}" name="Preparation"/>
    <tableColumn id="6" xr3:uid="{3D1AD429-3F5F-4693-B890-A0AF8EE26B1A}" name="ATO statement" dataDxfId="75"/>
    <tableColumn id="7" xr3:uid="{25F6E5FD-9C18-4732-AADC-059AB35890A5}" name="Signing copy" dataDxfId="74"/>
    <tableColumn id="8" xr3:uid="{5E3B382D-58F9-4BBC-A523-49C87471929D}" name="Reviewer"/>
    <tableColumn id="9" xr3:uid="{4B911E84-A868-4F59-B9B5-CACCEB39F81D}" name="Lodgement"/>
    <tableColumn id="10" xr3:uid="{E4FF8365-C0E5-49FC-A212-6FCA5B83FFA4}" name="Completion date" dataDxfId="73"/>
    <tableColumn id="11" xr3:uid="{ACAA4ABE-F5DA-4929-A243-BFA9FB88DBA8}" name="Days to due" dataDxfId="72">
      <calculatedColumnFormula>IF(OR(Metka_August_BAS[[#This Row],[Entity]]="",Metka_August_BAS[[#This Row],[Overall status]]="Done"),"",Metka_August_BAS[[#This Row],[Due date]]-TODAY())</calculatedColumnFormula>
    </tableColumn>
    <tableColumn id="12" xr3:uid="{09BB3A54-B172-423E-8ADE-B395116E40AE}" name="Overall status" dataDxfId="71">
      <calculatedColumnFormula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calculatedColumnFormula>
    </tableColumn>
    <tableColumn id="13" xr3:uid="{66429689-E55A-40C1-A03D-B5D843EE9E79}" name="Blocker / notes" dataDxfId="7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A8E92C-7417-4A65-A9E0-E7B3E88BFDE7}" name="BAS_IAS_MultiMonth" displayName="BAS_IAS_MultiMonth" ref="A10:Q37" totalsRowShown="0" headerRowDxfId="62">
  <autoFilter ref="A10:Q37" xr:uid="{6DA8E92C-7417-4A65-A9E0-E7B3E88BFDE7}">
    <filterColumn colId="4">
      <filters>
        <filter val="JD"/>
      </filters>
    </filterColumn>
  </autoFilter>
  <sortState xmlns:xlrd2="http://schemas.microsoft.com/office/spreadsheetml/2017/richdata2" ref="A11:Q37">
    <sortCondition descending="1" ref="I10:I37"/>
  </sortState>
  <tableColumns count="17">
    <tableColumn id="1" xr3:uid="{8F4A5304-2ECF-4193-AE13-FF23EFC9772B}" name="Priority"/>
    <tableColumn id="2" xr3:uid="{6AF8CD98-A43F-4D86-A98C-229DCFCEC7D7}" name="Client" dataDxfId="61"/>
    <tableColumn id="3" xr3:uid="{E4047F79-BF57-42B1-964E-77B3EF3C7128}" name="Obligation type"/>
    <tableColumn id="4" xr3:uid="{FEF6EC39-DE99-4BAB-9263-6E2B05BDE526}" name="Software" dataDxfId="60"/>
    <tableColumn id="5" xr3:uid="{86CA20D6-CE48-4938-9E25-D14DA799E593}" name="Processor" dataDxfId="59"/>
    <tableColumn id="6" xr3:uid="{00E2ED5A-3626-4AC7-8B3A-DF88704A4D67}" name="Senior / AM" dataDxfId="58"/>
    <tableColumn id="7" xr3:uid="{33DD5DBA-D2CD-4786-A0B6-2E992868FE06}" name="Manager"/>
    <tableColumn id="8" xr3:uid="{1898EC47-0409-4DCB-BDAD-93D44AD4E368}" name="Current notes" dataDxfId="57"/>
    <tableColumn id="17" xr3:uid="{BB1D0815-59B1-481E-9F26-34EEE7A86FB0}" name="June status" dataDxfId="56"/>
    <tableColumn id="9" xr3:uid="{F7DA398B-1197-449A-9F1E-A16762F80B44}" name="Jul status"/>
    <tableColumn id="10" xr3:uid="{95A34895-FE94-4D48-9C44-A95678E33135}" name="Aug status"/>
    <tableColumn id="11" xr3:uid="{1907E202-337A-423F-905A-B81CF0E33E5C}" name="Sep status"/>
    <tableColumn id="12" xr3:uid="{4F89D2B4-78E3-4D80-824B-F4F9B9D70671}" name="Oct status"/>
    <tableColumn id="13" xr3:uid="{E3C5DC96-9781-49D8-B290-D8CA52032C89}" name="Nov status"/>
    <tableColumn id="14" xr3:uid="{C30DB9AB-0698-4DDA-855C-78B7C4E0E835}" name="Dec status"/>
    <tableColumn id="15" xr3:uid="{CBE10A9E-7CA6-4EBC-86B9-DAC668C8B5B3}" name="Current status" dataDxfId="55">
      <calculatedColumnFormula array="1">IF(OR(MONTH($B$4)&lt;7,MONTH($B$4)&gt;12),"Set Jul-Dec",INDEX($J11:$O11,1,MONTH($B$4)-6))</calculatedColumnFormula>
    </tableColumn>
    <tableColumn id="16" xr3:uid="{A62BCF7A-F60B-4546-8B02-9BA7FED8800E}" name="Next action / blocker" dataDxfId="5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1" displayName="Table_1" ref="A2:P6" headerRowDxfId="47">
  <tableColumns count="16">
    <tableColumn id="1" xr3:uid="{00000000-0010-0000-0600-000001000000}" name="Client" dataDxfId="46"/>
    <tableColumn id="2" xr3:uid="{00000000-0010-0000-0600-000002000000}" name="Due"/>
    <tableColumn id="3" xr3:uid="{00000000-0010-0000-0600-000003000000}" name="November" dataDxfId="45"/>
    <tableColumn id="4" xr3:uid="{00000000-0010-0000-0600-000004000000}" name="December" dataDxfId="44"/>
    <tableColumn id="5" xr3:uid="{00000000-0010-0000-0600-000005000000}" name="Jan-26" dataDxfId="43"/>
    <tableColumn id="6" xr3:uid="{00000000-0010-0000-0600-000006000000}" name="Feb-26" dataDxfId="42"/>
    <tableColumn id="7" xr3:uid="{00000000-0010-0000-0600-000007000000}" name="Mar-26" dataDxfId="41"/>
    <tableColumn id="8" xr3:uid="{00000000-0010-0000-0600-000008000000}" name="Apr-26" dataDxfId="40"/>
    <tableColumn id="9" xr3:uid="{00000000-0010-0000-0600-000009000000}" name="May-26" dataDxfId="39"/>
    <tableColumn id="10" xr3:uid="{00000000-0010-0000-0600-00000A000000}" name="Jun-26" dataDxfId="38"/>
    <tableColumn id="11" xr3:uid="{00000000-0010-0000-0600-00000B000000}" name="Jul-26" dataDxfId="37"/>
    <tableColumn id="12" xr3:uid="{00000000-0010-0000-0600-00000C000000}" name="Aug-26" dataDxfId="36"/>
    <tableColumn id="13" xr3:uid="{00000000-0010-0000-0600-00000D000000}" name="Sep-26" dataDxfId="35"/>
    <tableColumn id="14" xr3:uid="{00000000-0010-0000-0600-00000E000000}" name="Oct-26" dataDxfId="34"/>
    <tableColumn id="15" xr3:uid="{00000000-0010-0000-0600-00000F000000}" name="Nov-26" dataDxfId="33"/>
    <tableColumn id="16" xr3:uid="{00000000-0010-0000-0600-000010000000}" name="Dec-26" dataDxfId="32"/>
  </tableColumns>
  <tableStyleInfo name="TableStyleMedium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2" displayName="Table_2" ref="A2:P5" headerRowDxfId="19" tableBorderDxfId="18">
  <autoFilter ref="A2:P5" xr:uid="{00000000-000C-0000-FFFF-FFFF08000000}"/>
  <tableColumns count="16">
    <tableColumn id="1" xr3:uid="{00000000-0010-0000-0800-000001000000}" name="Client"/>
    <tableColumn id="2" xr3:uid="{00000000-0010-0000-0800-000002000000}" name="Senior"/>
    <tableColumn id="3" xr3:uid="{00000000-0010-0000-0800-000003000000}" name="Commence"/>
    <tableColumn id="4" xr3:uid="{00000000-0010-0000-0800-000004000000}" name="Due Date"/>
    <tableColumn id="5" xr3:uid="{00000000-0010-0000-0800-000005000000}" name="Jan-26" dataDxfId="17"/>
    <tableColumn id="6" xr3:uid="{00000000-0010-0000-0800-000006000000}" name="Feb-26" dataDxfId="16"/>
    <tableColumn id="7" xr3:uid="{00000000-0010-0000-0800-000007000000}" name="Mar-26" dataDxfId="15"/>
    <tableColumn id="8" xr3:uid="{00000000-0010-0000-0800-000008000000}" name="Apr-26" dataDxfId="14"/>
    <tableColumn id="9" xr3:uid="{00000000-0010-0000-0800-000009000000}" name="May-26" dataDxfId="13"/>
    <tableColumn id="10" xr3:uid="{00000000-0010-0000-0800-00000A000000}" name="Jun-26" dataDxfId="12"/>
    <tableColumn id="11" xr3:uid="{00000000-0010-0000-0800-00000B000000}" name="Jul-26" dataDxfId="11"/>
    <tableColumn id="12" xr3:uid="{00000000-0010-0000-0800-00000C000000}" name="Aug-26" dataDxfId="10"/>
    <tableColumn id="13" xr3:uid="{00000000-0010-0000-0800-00000D000000}" name="Sep-26" dataDxfId="9"/>
    <tableColumn id="14" xr3:uid="{00000000-0010-0000-0800-00000E000000}" name="Oct-26" dataDxfId="8"/>
    <tableColumn id="15" xr3:uid="{00000000-0010-0000-0800-00000F000000}" name="Nov-26" dataDxfId="7"/>
    <tableColumn id="16" xr3:uid="{00000000-0010-0000-0800-000010000000}" name="Dec-26" dataDxfId="6"/>
  </tableColumns>
  <tableStyleInfo name="🗒 Notes to Allocate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6-08-04T08:23:20.53" personId="{9A684F4D-C4C0-4FBE-8B96-81A6191A586E}" id="{A51AA88B-6022-47C7-BF10-50EC3F1124C0}">
    <text xml:space="preserve">Double check if further is still required
</text>
  </threadedComment>
  <threadedComment ref="H20" dT="2026-08-04T08:22:48.22" personId="{9A684F4D-C4C0-4FBE-8B96-81A6191A586E}" id="{8077A402-852F-442B-BD72-ED91F05435F1}">
    <text xml:space="preserve">Double check if further work is required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outlook.office365.com/owa/?ItemID=AAMkAGFiYTA3MDY3LTM0ZTgtNDNhMy04NDYzLWY3OWM2YWIwOGIxOABGAAAAAAB2JHaGOY7hSoJu3BgLtZXHBwBUww90k4DlQZDK%2bMZVkImNAADI1zicAABUww90k4DlQZDK%2bMZVkImNAAEc1OAwAAA%3d&amp;exvsurl=1&amp;viewmodel=ReadMessageItem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showGridLines="0" tabSelected="1" workbookViewId="0">
      <pane xSplit="1" ySplit="5" topLeftCell="B6" activePane="bottomRight" state="frozen"/>
      <selection pane="bottomRight" activeCell="J5" sqref="J5:J9"/>
      <selection pane="bottomLeft" activeCell="A6" sqref="A6"/>
      <selection pane="topRight" activeCell="B1" sqref="B1"/>
    </sheetView>
  </sheetViews>
  <sheetFormatPr defaultColWidth="14.42578125" defaultRowHeight="15" customHeight="1"/>
  <cols>
    <col min="1" max="1" width="9" customWidth="1"/>
    <col min="2" max="2" width="3.140625" bestFit="1" customWidth="1"/>
    <col min="3" max="3" width="28.5703125" customWidth="1"/>
    <col min="4" max="4" width="49.5703125" customWidth="1"/>
    <col min="5" max="5" width="10.42578125" customWidth="1"/>
    <col min="6" max="6" width="23.42578125" customWidth="1"/>
    <col min="7" max="7" width="22.5703125" customWidth="1"/>
    <col min="8" max="8" width="25.5703125" style="115" customWidth="1"/>
    <col min="9" max="9" width="25.5703125" style="122" customWidth="1"/>
    <col min="10" max="10" width="12.28515625" bestFit="1" customWidth="1"/>
    <col min="11" max="11" width="20.7109375" bestFit="1" customWidth="1"/>
    <col min="12" max="27" width="8.7109375" customWidth="1"/>
  </cols>
  <sheetData>
    <row r="1" spans="1:11" ht="15.75" customHeight="1">
      <c r="A1" s="5" t="s">
        <v>0</v>
      </c>
      <c r="B1" s="140"/>
      <c r="C1" s="140"/>
      <c r="D1" s="140"/>
      <c r="E1" s="140"/>
      <c r="F1" s="140"/>
      <c r="G1" s="140"/>
      <c r="H1" s="140"/>
      <c r="I1" s="140"/>
      <c r="J1" s="1"/>
      <c r="K1" s="140"/>
    </row>
    <row r="2" spans="1:11" ht="19.5" customHeight="1">
      <c r="A2" s="140"/>
      <c r="B2" s="143" t="s">
        <v>1</v>
      </c>
      <c r="C2" s="144"/>
      <c r="D2" s="144"/>
      <c r="E2" s="144"/>
      <c r="F2" s="144"/>
      <c r="G2" s="144"/>
      <c r="H2" s="140"/>
      <c r="I2" s="140"/>
      <c r="J2" s="1"/>
      <c r="K2" s="140"/>
    </row>
    <row r="3" spans="1:11">
      <c r="A3" s="140"/>
      <c r="B3" s="145" t="s">
        <v>2</v>
      </c>
      <c r="C3" s="144"/>
      <c r="D3" s="144"/>
      <c r="E3" s="144"/>
      <c r="F3" s="144"/>
      <c r="G3" s="144"/>
      <c r="H3" s="140"/>
      <c r="I3" s="140"/>
      <c r="J3" s="1"/>
      <c r="K3" s="140"/>
    </row>
    <row r="4" spans="1:11">
      <c r="A4" s="140"/>
      <c r="B4" s="140"/>
      <c r="C4" s="140"/>
      <c r="D4" s="140"/>
      <c r="E4" s="140"/>
      <c r="F4" s="140"/>
      <c r="G4" s="140"/>
      <c r="H4" s="140"/>
      <c r="I4" s="140"/>
      <c r="J4" s="1"/>
      <c r="K4" s="140"/>
    </row>
    <row r="5" spans="1:11" ht="22.5" customHeight="1">
      <c r="A5" s="140"/>
      <c r="B5" s="7" t="s">
        <v>3</v>
      </c>
      <c r="C5" s="7" t="s">
        <v>4</v>
      </c>
      <c r="D5" s="7" t="s">
        <v>5</v>
      </c>
      <c r="E5" s="9" t="s">
        <v>6</v>
      </c>
      <c r="F5" s="7" t="s">
        <v>7</v>
      </c>
      <c r="G5" s="2"/>
      <c r="H5" s="2"/>
      <c r="I5" s="2"/>
      <c r="J5" s="1"/>
      <c r="K5" s="140"/>
    </row>
    <row r="6" spans="1:11" ht="21" customHeight="1">
      <c r="A6" s="140"/>
      <c r="B6" s="3">
        <v>1</v>
      </c>
      <c r="C6" s="4" t="s">
        <v>8</v>
      </c>
      <c r="D6" s="4" t="s">
        <v>9</v>
      </c>
      <c r="E6" s="55" t="s">
        <v>10</v>
      </c>
      <c r="F6" s="4"/>
      <c r="G6" s="140"/>
      <c r="H6" s="140"/>
      <c r="I6" s="140"/>
      <c r="J6" s="1"/>
      <c r="K6" s="35"/>
    </row>
    <row r="7" spans="1:11" ht="21" customHeight="1">
      <c r="A7" s="140"/>
      <c r="B7" s="3">
        <v>2</v>
      </c>
      <c r="C7" s="4" t="s">
        <v>11</v>
      </c>
      <c r="D7" s="4" t="s">
        <v>12</v>
      </c>
      <c r="E7" s="55" t="s">
        <v>10</v>
      </c>
      <c r="F7" s="4" t="s">
        <v>13</v>
      </c>
      <c r="G7" s="140"/>
      <c r="H7" s="140"/>
      <c r="I7" s="140"/>
      <c r="J7" s="1"/>
      <c r="K7" s="5"/>
    </row>
    <row r="8" spans="1:11" ht="21" customHeight="1">
      <c r="A8" s="140"/>
      <c r="B8" s="3">
        <v>3</v>
      </c>
      <c r="C8" s="4" t="s">
        <v>14</v>
      </c>
      <c r="D8" s="4" t="s">
        <v>15</v>
      </c>
      <c r="E8" s="55" t="s">
        <v>10</v>
      </c>
      <c r="F8" s="4" t="s">
        <v>16</v>
      </c>
      <c r="G8" s="140"/>
      <c r="H8" s="140"/>
      <c r="I8" s="140"/>
      <c r="J8" s="1"/>
      <c r="K8" s="140"/>
    </row>
    <row r="9" spans="1:11" ht="21" customHeight="1">
      <c r="A9" s="140"/>
      <c r="B9" s="3">
        <v>4</v>
      </c>
      <c r="C9" s="4" t="s">
        <v>17</v>
      </c>
      <c r="D9" s="4" t="s">
        <v>18</v>
      </c>
      <c r="E9" s="55" t="s">
        <v>10</v>
      </c>
      <c r="F9" s="4" t="s">
        <v>19</v>
      </c>
      <c r="G9" s="140"/>
      <c r="H9" s="140"/>
      <c r="I9" s="140"/>
      <c r="J9" s="1"/>
      <c r="K9" s="140"/>
    </row>
    <row r="10" spans="1:11" ht="21" customHeight="1">
      <c r="A10" s="140"/>
      <c r="B10" s="3">
        <v>5</v>
      </c>
      <c r="C10" s="4" t="s">
        <v>20</v>
      </c>
      <c r="D10" s="4" t="s">
        <v>21</v>
      </c>
      <c r="E10" s="55" t="s">
        <v>10</v>
      </c>
      <c r="F10" s="4" t="s">
        <v>22</v>
      </c>
      <c r="G10" s="140"/>
      <c r="H10" s="140"/>
      <c r="I10" s="140"/>
      <c r="J10" s="1"/>
      <c r="K10" s="140"/>
    </row>
    <row r="11" spans="1:11" ht="21" customHeight="1">
      <c r="A11" s="140"/>
      <c r="B11" s="3">
        <v>6</v>
      </c>
      <c r="C11" s="4" t="s">
        <v>23</v>
      </c>
      <c r="D11" s="4" t="s">
        <v>24</v>
      </c>
      <c r="E11" s="55" t="s">
        <v>10</v>
      </c>
      <c r="F11" s="4" t="s">
        <v>25</v>
      </c>
      <c r="G11" s="140"/>
      <c r="H11" s="140"/>
      <c r="I11" s="140"/>
      <c r="J11" s="1"/>
      <c r="K11" s="140"/>
    </row>
    <row r="12" spans="1:11" ht="21" customHeight="1">
      <c r="A12" s="140"/>
      <c r="B12" s="3">
        <v>7</v>
      </c>
      <c r="C12" s="4" t="s">
        <v>26</v>
      </c>
      <c r="D12" s="4" t="s">
        <v>27</v>
      </c>
      <c r="E12" s="55" t="s">
        <v>10</v>
      </c>
      <c r="F12" s="4" t="s">
        <v>28</v>
      </c>
      <c r="G12" s="140"/>
      <c r="H12" s="140"/>
      <c r="I12" s="140"/>
      <c r="J12" s="140"/>
      <c r="K12" s="140"/>
    </row>
    <row r="13" spans="1:11" ht="21" customHeight="1">
      <c r="A13" s="140"/>
      <c r="B13" s="3">
        <v>8</v>
      </c>
      <c r="C13" s="4" t="s">
        <v>29</v>
      </c>
      <c r="D13" s="4" t="s">
        <v>30</v>
      </c>
      <c r="E13" s="55" t="s">
        <v>10</v>
      </c>
      <c r="F13" s="4" t="s">
        <v>31</v>
      </c>
      <c r="G13" s="140"/>
      <c r="H13" s="140"/>
      <c r="I13" s="140"/>
      <c r="J13" s="140"/>
      <c r="K13" s="140"/>
    </row>
    <row r="14" spans="1:11" ht="21" customHeight="1">
      <c r="A14" s="140"/>
      <c r="B14" s="3">
        <v>9</v>
      </c>
      <c r="C14" s="4" t="s">
        <v>32</v>
      </c>
      <c r="D14" s="4" t="s">
        <v>33</v>
      </c>
      <c r="E14" s="55" t="s">
        <v>10</v>
      </c>
      <c r="F14" s="4" t="s">
        <v>34</v>
      </c>
      <c r="G14" s="140"/>
      <c r="H14" s="140"/>
      <c r="I14" s="140"/>
      <c r="J14" s="140"/>
      <c r="K14" s="140"/>
    </row>
    <row r="15" spans="1:11" ht="21" customHeight="1">
      <c r="A15" s="140"/>
      <c r="B15" s="3">
        <v>10</v>
      </c>
      <c r="C15" s="4" t="s">
        <v>35</v>
      </c>
      <c r="D15" s="4" t="s">
        <v>36</v>
      </c>
      <c r="E15" s="55" t="s">
        <v>10</v>
      </c>
      <c r="F15" s="4" t="s">
        <v>37</v>
      </c>
      <c r="G15" s="140"/>
      <c r="H15" s="140"/>
      <c r="I15" s="140"/>
      <c r="J15" s="140"/>
      <c r="K15" s="140"/>
    </row>
    <row r="16" spans="1:11" ht="21" customHeight="1">
      <c r="A16" s="140"/>
      <c r="B16" s="3">
        <v>11</v>
      </c>
      <c r="C16" s="4" t="s">
        <v>38</v>
      </c>
      <c r="D16" s="4" t="s">
        <v>39</v>
      </c>
      <c r="E16" s="55" t="s">
        <v>10</v>
      </c>
      <c r="F16" s="4" t="s">
        <v>40</v>
      </c>
      <c r="G16" s="140"/>
      <c r="H16" s="140"/>
      <c r="I16" s="140"/>
      <c r="J16" s="140"/>
      <c r="K16" s="140"/>
    </row>
    <row r="17" spans="2:11" ht="21" customHeight="1">
      <c r="B17" s="3">
        <v>12</v>
      </c>
      <c r="C17" s="4" t="s">
        <v>41</v>
      </c>
      <c r="D17" s="4" t="s">
        <v>42</v>
      </c>
      <c r="E17" s="55" t="s">
        <v>10</v>
      </c>
      <c r="F17" s="4" t="s">
        <v>40</v>
      </c>
      <c r="G17" s="140"/>
      <c r="H17" s="140"/>
      <c r="I17" s="140"/>
      <c r="J17" s="140"/>
      <c r="K17" s="140"/>
    </row>
    <row r="18" spans="2:11" ht="21" customHeight="1">
      <c r="B18" s="3">
        <v>13</v>
      </c>
      <c r="C18" s="4" t="s">
        <v>43</v>
      </c>
      <c r="D18" s="4" t="s">
        <v>44</v>
      </c>
      <c r="E18" s="55" t="s">
        <v>10</v>
      </c>
      <c r="F18" s="4" t="s">
        <v>40</v>
      </c>
      <c r="G18" s="140"/>
      <c r="H18" s="140"/>
      <c r="I18" s="140"/>
      <c r="J18" s="140"/>
      <c r="K18" s="140"/>
    </row>
    <row r="19" spans="2:11" ht="21" customHeight="1">
      <c r="B19" s="3">
        <v>14</v>
      </c>
      <c r="C19" s="4" t="s">
        <v>45</v>
      </c>
      <c r="D19" s="4" t="s">
        <v>46</v>
      </c>
      <c r="E19" s="55" t="s">
        <v>10</v>
      </c>
      <c r="F19" s="4" t="s">
        <v>47</v>
      </c>
      <c r="G19" s="140"/>
      <c r="H19" s="140"/>
      <c r="I19" s="140"/>
      <c r="J19" s="140"/>
      <c r="K19" s="140"/>
    </row>
    <row r="20" spans="2:11" ht="22.5" customHeight="1">
      <c r="B20" s="140"/>
      <c r="C20" s="140"/>
      <c r="D20" s="140"/>
      <c r="E20" s="140"/>
      <c r="F20" s="140"/>
      <c r="G20" s="140"/>
      <c r="H20" s="140"/>
      <c r="I20" s="140"/>
      <c r="J20" s="140"/>
      <c r="K20" s="140"/>
    </row>
  </sheetData>
  <mergeCells count="2">
    <mergeCell ref="B2:G2"/>
    <mergeCell ref="B3:G3"/>
  </mergeCells>
  <dataValidations count="1">
    <dataValidation type="custom" allowBlank="1" showDropDown="1" sqref="B6:B19" xr:uid="{00000000-0002-0000-0300-000000000000}">
      <formula1>AND(ISNUMBER(B6),(NOT(OR(NOT(ISERROR(DATEVALUE(B6))), AND(ISNUMBER(B6), LEFT(CELL("format", B6))="D")))))</formula1>
    </dataValidation>
  </dataValidations>
  <hyperlinks>
    <hyperlink ref="E6" location="'🗂 Client Master List'!A1" display="→ Go" xr:uid="{00000000-0004-0000-0300-000000000000}"/>
    <hyperlink ref="E7" location="'📅 Daily To-Do'!A1" display="→ Go" xr:uid="{00000000-0004-0000-0300-000003000000}"/>
    <hyperlink ref="E8" location="'🗒 Notes to Allocate'!A1" display="→ Go" xr:uid="{00000000-0004-0000-0300-000004000000}"/>
    <hyperlink ref="E9" location="'📊 BAS-IAS Tracker'!A1" display="→ Go" xr:uid="{00000000-0004-0000-0300-000005000000}"/>
    <hyperlink ref="E10" location="'💳 Supplier Payment Run'!A1" display="→ Go" xr:uid="{00000000-0004-0000-0300-000006000000}"/>
    <hyperlink ref="E11" location="'📚 Bookkeeping'!A1" display="→ Go" xr:uid="{00000000-0004-0000-0300-000007000000}"/>
    <hyperlink ref="E12" location="'📤 STP &amp; Payroll'!A1" display="→ Go" xr:uid="{00000000-0004-0000-0300-000008000000}"/>
    <hyperlink ref="E13" location="'🏦 Payroll Tax'!A1" display="→ Go" xr:uid="{00000000-0004-0000-0300-000009000000}"/>
    <hyperlink ref="E14" location="'🌐 Metka BAS – Non-Group'!A1" display="→ Go" xr:uid="{00000000-0004-0000-0300-00000A000000}"/>
    <hyperlink ref="E15" location="'🏢 AOS Control List'!A1" display="→ Go" xr:uid="{00000000-0004-0000-0300-00000B000000}"/>
    <hyperlink ref="E16" location="'📧 Joanne Leave Reminders'!A1" display="→ Go" xr:uid="{00000000-0004-0000-0300-00000C000000}"/>
    <hyperlink ref="E17" location="'📁 Folder Structure'!A1" display="→ Go" xr:uid="{00000000-0004-0000-0300-00000D000000}"/>
    <hyperlink ref="E18" location="'📋 Process Notes'!A1" display="→ Go" xr:uid="{00000000-0004-0000-0300-00000E000000}"/>
    <hyperlink ref="E19" location="'🔑 APS Clients'!A1" display="→ Go" xr:uid="{00000000-0004-0000-0300-00000F000000}"/>
  </hyperlinks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890C-AC22-45BF-A423-0E02923F5995}">
  <dimension ref="A1:R28"/>
  <sheetViews>
    <sheetView showGridLines="0" workbookViewId="0">
      <selection activeCell="C20" sqref="C20"/>
    </sheetView>
  </sheetViews>
  <sheetFormatPr defaultRowHeight="15"/>
  <cols>
    <col min="1" max="1" width="8" customWidth="1"/>
    <col min="2" max="2" width="15.5703125" customWidth="1"/>
    <col min="3" max="3" width="27.5703125" customWidth="1"/>
    <col min="4" max="4" width="52.42578125" bestFit="1" customWidth="1"/>
    <col min="5" max="5" width="19" customWidth="1"/>
    <col min="6" max="6" width="14.42578125" customWidth="1"/>
    <col min="7" max="7" width="11.85546875" customWidth="1"/>
    <col min="8" max="8" width="18.28515625" customWidth="1"/>
    <col min="9" max="9" width="38.140625" customWidth="1"/>
    <col min="10" max="10" width="13.7109375" customWidth="1"/>
    <col min="11" max="11" width="12.140625" customWidth="1"/>
    <col min="12" max="12" width="13" customWidth="1"/>
    <col min="13" max="13" width="15.5703125" customWidth="1"/>
    <col min="14" max="14" width="20" customWidth="1"/>
    <col min="15" max="15" width="15.5703125" customWidth="1"/>
    <col min="16" max="16" width="13.28515625" customWidth="1"/>
    <col min="17" max="17" width="21.85546875" customWidth="1"/>
    <col min="18" max="18" width="13.7109375" customWidth="1"/>
  </cols>
  <sheetData>
    <row r="1" spans="1:18" ht="30" customHeight="1">
      <c r="A1" s="146" t="s">
        <v>48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</row>
    <row r="2" spans="1:18" ht="24" customHeight="1">
      <c r="A2" s="147" t="s">
        <v>49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</row>
    <row r="3" spans="1:18">
      <c r="A3" s="53" t="s">
        <v>50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</row>
    <row r="4" spans="1:18">
      <c r="A4" s="152" t="s">
        <v>51</v>
      </c>
      <c r="B4" s="152"/>
      <c r="C4" s="152" t="s">
        <v>52</v>
      </c>
      <c r="D4" s="152"/>
      <c r="E4" s="152" t="s">
        <v>53</v>
      </c>
      <c r="F4" s="152"/>
      <c r="G4" s="152" t="s">
        <v>54</v>
      </c>
      <c r="H4" s="152"/>
      <c r="I4" s="152" t="s">
        <v>55</v>
      </c>
      <c r="J4" s="152"/>
      <c r="K4" s="140"/>
      <c r="L4" s="140"/>
      <c r="M4" s="140"/>
      <c r="N4" s="140"/>
      <c r="O4" s="140"/>
      <c r="P4" s="140"/>
      <c r="Q4" s="140"/>
      <c r="R4" s="140"/>
    </row>
    <row r="5" spans="1:18" ht="18.75">
      <c r="A5" s="150">
        <f ca="1">TODAY()</f>
        <v>46269</v>
      </c>
      <c r="B5" s="150"/>
      <c r="C5" s="151">
        <f>COUNTIF(Daily_Priorities[Task],"&lt;&gt;")</f>
        <v>18</v>
      </c>
      <c r="D5" s="151"/>
      <c r="E5" s="151">
        <f>COUNTIFS(Daily_Priorities[Task],"&lt;&gt;",Daily_Priorities[Status],"&lt;&gt;Done")</f>
        <v>11</v>
      </c>
      <c r="F5" s="151"/>
      <c r="G5" s="151">
        <f>COUNTIFS(Daily_Priorities[Task],"&lt;&gt;",Daily_Priorities[Status],"Done")</f>
        <v>7</v>
      </c>
      <c r="H5" s="151"/>
      <c r="I5" s="151">
        <f>SUMIFS(Daily_Priorities[Est. min],Daily_Priorities[Task],"&lt;&gt;",Daily_Priorities[Status],"&lt;&gt;Done")</f>
        <v>0</v>
      </c>
      <c r="J5" s="151"/>
      <c r="K5" s="140"/>
      <c r="L5" s="140"/>
      <c r="M5" s="140"/>
      <c r="N5" s="140"/>
      <c r="O5" s="140"/>
      <c r="P5" s="140"/>
      <c r="Q5" s="140"/>
      <c r="R5" s="140"/>
    </row>
    <row r="6" spans="1:18">
      <c r="A6" s="140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</row>
    <row r="7" spans="1:18" ht="24" customHeight="1">
      <c r="A7" s="148" t="s">
        <v>56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</row>
    <row r="8" spans="1:18">
      <c r="A8" s="45" t="s">
        <v>57</v>
      </c>
      <c r="B8" s="45" t="s">
        <v>58</v>
      </c>
      <c r="C8" s="45" t="s">
        <v>59</v>
      </c>
      <c r="D8" s="45" t="s">
        <v>60</v>
      </c>
      <c r="E8" s="45" t="s">
        <v>61</v>
      </c>
      <c r="F8" s="45" t="s">
        <v>62</v>
      </c>
      <c r="G8" s="45" t="s">
        <v>63</v>
      </c>
      <c r="H8" s="45" t="s">
        <v>64</v>
      </c>
      <c r="I8" s="45" t="s">
        <v>65</v>
      </c>
      <c r="J8" s="45" t="s">
        <v>66</v>
      </c>
      <c r="K8" s="45" t="s">
        <v>67</v>
      </c>
      <c r="L8" s="45" t="s">
        <v>68</v>
      </c>
      <c r="M8" s="45" t="s">
        <v>69</v>
      </c>
      <c r="N8" s="45" t="s">
        <v>70</v>
      </c>
      <c r="O8" s="45" t="s">
        <v>71</v>
      </c>
      <c r="P8" s="45" t="s">
        <v>72</v>
      </c>
      <c r="Q8" s="45" t="s">
        <v>73</v>
      </c>
      <c r="R8" s="45" t="s">
        <v>74</v>
      </c>
    </row>
    <row r="9" spans="1:18" ht="62.25" hidden="1">
      <c r="A9" s="39">
        <v>1</v>
      </c>
      <c r="B9" s="37" t="s">
        <v>75</v>
      </c>
      <c r="C9" s="40" t="s">
        <v>76</v>
      </c>
      <c r="D9" s="41" t="s">
        <v>77</v>
      </c>
      <c r="E9" s="140" t="s">
        <v>78</v>
      </c>
      <c r="F9" s="42">
        <v>46235</v>
      </c>
      <c r="G9" s="39"/>
      <c r="H9" s="37" t="s">
        <v>79</v>
      </c>
      <c r="I9" s="40" t="s">
        <v>80</v>
      </c>
      <c r="J9" s="37" t="s">
        <v>81</v>
      </c>
      <c r="K9" s="140" t="s">
        <v>82</v>
      </c>
      <c r="L9" s="140"/>
      <c r="M9" s="44">
        <v>46204</v>
      </c>
      <c r="N9" s="40"/>
      <c r="O9" s="43"/>
      <c r="P9" s="140" t="s">
        <v>83</v>
      </c>
      <c r="Q9" s="40" t="s">
        <v>45</v>
      </c>
      <c r="R9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10" spans="1:18" ht="32.25" hidden="1">
      <c r="A10" s="39">
        <v>2</v>
      </c>
      <c r="B10" s="37" t="s">
        <v>75</v>
      </c>
      <c r="C10" s="40" t="s">
        <v>76</v>
      </c>
      <c r="D10" s="41" t="s">
        <v>84</v>
      </c>
      <c r="E10" s="140" t="s">
        <v>78</v>
      </c>
      <c r="F10" s="42">
        <v>46240</v>
      </c>
      <c r="G10" s="39"/>
      <c r="H10" s="37" t="s">
        <v>79</v>
      </c>
      <c r="I10" s="40" t="s">
        <v>85</v>
      </c>
      <c r="J10" s="37" t="s">
        <v>81</v>
      </c>
      <c r="K10" s="140" t="s">
        <v>82</v>
      </c>
      <c r="L10" s="140"/>
      <c r="M10" s="44">
        <v>46204</v>
      </c>
      <c r="N10" s="40"/>
      <c r="O10" s="43"/>
      <c r="P10" s="140" t="s">
        <v>83</v>
      </c>
      <c r="Q10" s="40" t="s">
        <v>45</v>
      </c>
      <c r="R10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11" spans="1:18" ht="32.25" hidden="1">
      <c r="A11" s="39">
        <v>3</v>
      </c>
      <c r="B11" s="37" t="s">
        <v>86</v>
      </c>
      <c r="C11" s="40" t="s">
        <v>76</v>
      </c>
      <c r="D11" s="41" t="s">
        <v>87</v>
      </c>
      <c r="E11" s="140" t="s">
        <v>78</v>
      </c>
      <c r="F11" s="42">
        <v>46244</v>
      </c>
      <c r="G11" s="39"/>
      <c r="H11" s="37" t="s">
        <v>79</v>
      </c>
      <c r="I11" s="40" t="s">
        <v>79</v>
      </c>
      <c r="J11" s="37" t="s">
        <v>81</v>
      </c>
      <c r="K11" s="140" t="s">
        <v>82</v>
      </c>
      <c r="L11" s="140"/>
      <c r="M11" s="44">
        <v>46204</v>
      </c>
      <c r="N11" s="40"/>
      <c r="O11" s="43"/>
      <c r="P11" s="140" t="s">
        <v>83</v>
      </c>
      <c r="Q11" s="40" t="s">
        <v>45</v>
      </c>
      <c r="R11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12" spans="1:18" ht="62.25" hidden="1">
      <c r="A12" s="39">
        <v>4</v>
      </c>
      <c r="B12" s="37" t="s">
        <v>86</v>
      </c>
      <c r="C12" s="40" t="s">
        <v>76</v>
      </c>
      <c r="D12" s="41" t="s">
        <v>88</v>
      </c>
      <c r="E12" s="140" t="s">
        <v>78</v>
      </c>
      <c r="F12" s="42">
        <v>46254</v>
      </c>
      <c r="G12" s="39"/>
      <c r="H12" s="37" t="s">
        <v>79</v>
      </c>
      <c r="I12" s="40" t="s">
        <v>89</v>
      </c>
      <c r="J12" s="37" t="s">
        <v>81</v>
      </c>
      <c r="K12" s="140" t="s">
        <v>82</v>
      </c>
      <c r="L12" s="140"/>
      <c r="M12" s="44">
        <v>46204</v>
      </c>
      <c r="N12" s="40"/>
      <c r="O12" s="43"/>
      <c r="P12" s="140" t="s">
        <v>83</v>
      </c>
      <c r="Q12" s="40" t="s">
        <v>45</v>
      </c>
      <c r="R12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13" spans="1:18" ht="30.75" hidden="1" customHeight="1">
      <c r="A13" s="39">
        <v>5</v>
      </c>
      <c r="B13" s="37" t="s">
        <v>86</v>
      </c>
      <c r="C13" s="40" t="s">
        <v>90</v>
      </c>
      <c r="D13" s="140" t="s">
        <v>91</v>
      </c>
      <c r="E13" s="140"/>
      <c r="F13" s="42"/>
      <c r="G13" s="39"/>
      <c r="H13" s="37" t="s">
        <v>79</v>
      </c>
      <c r="I13" s="40"/>
      <c r="J13" s="37" t="s">
        <v>81</v>
      </c>
      <c r="K13" s="140"/>
      <c r="L13" s="140"/>
      <c r="M13" s="44"/>
      <c r="N13" s="40"/>
      <c r="O13" s="43"/>
      <c r="P13" s="140"/>
      <c r="Q13" s="40" t="s">
        <v>92</v>
      </c>
      <c r="R13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14" spans="1:18" ht="30.75" hidden="1" customHeight="1">
      <c r="A14" s="39">
        <v>6</v>
      </c>
      <c r="B14" s="37" t="s">
        <v>86</v>
      </c>
      <c r="C14" s="40" t="s">
        <v>93</v>
      </c>
      <c r="D14" s="140" t="s">
        <v>94</v>
      </c>
      <c r="E14" s="140"/>
      <c r="F14" s="42"/>
      <c r="G14" s="39"/>
      <c r="H14" s="37" t="s">
        <v>79</v>
      </c>
      <c r="I14" s="40"/>
      <c r="J14" s="37" t="s">
        <v>81</v>
      </c>
      <c r="K14" s="140"/>
      <c r="L14" s="140"/>
      <c r="M14" s="44"/>
      <c r="N14" s="40"/>
      <c r="O14" s="43"/>
      <c r="P14" s="140"/>
      <c r="Q14" s="40" t="s">
        <v>92</v>
      </c>
      <c r="R14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15" spans="1:18" ht="30.75" hidden="1" customHeight="1">
      <c r="A15" s="39">
        <v>5</v>
      </c>
      <c r="B15" s="37" t="s">
        <v>75</v>
      </c>
      <c r="C15" s="40" t="s">
        <v>95</v>
      </c>
      <c r="D15" s="41" t="s">
        <v>88</v>
      </c>
      <c r="E15" s="140" t="s">
        <v>78</v>
      </c>
      <c r="F15" s="42">
        <v>46254</v>
      </c>
      <c r="G15" s="39"/>
      <c r="H15" s="37" t="s">
        <v>79</v>
      </c>
      <c r="I15" s="40"/>
      <c r="J15" s="37" t="s">
        <v>81</v>
      </c>
      <c r="K15" s="140" t="s">
        <v>82</v>
      </c>
      <c r="L15" s="140"/>
      <c r="M15" s="44"/>
      <c r="N15" s="40" t="s">
        <v>96</v>
      </c>
      <c r="O15" s="43"/>
      <c r="P15" s="140" t="s">
        <v>83</v>
      </c>
      <c r="Q15" s="40" t="s">
        <v>45</v>
      </c>
      <c r="R15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16" spans="1:18" ht="30.75" customHeight="1">
      <c r="A16" s="39">
        <v>11</v>
      </c>
      <c r="B16" s="37" t="s">
        <v>75</v>
      </c>
      <c r="C16" s="40" t="s">
        <v>97</v>
      </c>
      <c r="D16" s="140" t="s">
        <v>98</v>
      </c>
      <c r="E16" s="140" t="s">
        <v>78</v>
      </c>
      <c r="F16" s="42">
        <f>DATE(2026,9,12)</f>
        <v>46277</v>
      </c>
      <c r="G16" s="39"/>
      <c r="H16" s="37" t="s">
        <v>99</v>
      </c>
      <c r="I16" s="40" t="s">
        <v>100</v>
      </c>
      <c r="J16" s="37" t="s">
        <v>81</v>
      </c>
      <c r="K16" s="140" t="s">
        <v>82</v>
      </c>
      <c r="L16" s="140"/>
      <c r="M16" s="44">
        <f>DATE(2026,8,1)</f>
        <v>46235</v>
      </c>
      <c r="N16" s="40"/>
      <c r="O16" s="142"/>
      <c r="P16" s="140" t="s">
        <v>83</v>
      </c>
      <c r="Q16" s="40" t="s">
        <v>45</v>
      </c>
      <c r="R16" s="38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>0</v>
      </c>
    </row>
    <row r="17" spans="1:18" ht="30.75" customHeight="1">
      <c r="A17" s="39">
        <v>12</v>
      </c>
      <c r="B17" s="37" t="s">
        <v>75</v>
      </c>
      <c r="C17" s="40" t="s">
        <v>97</v>
      </c>
      <c r="D17" s="140" t="s">
        <v>101</v>
      </c>
      <c r="E17" s="140" t="s">
        <v>78</v>
      </c>
      <c r="F17" s="42">
        <f>DATE(2026,9,16)</f>
        <v>46281</v>
      </c>
      <c r="G17" s="39"/>
      <c r="H17" s="37" t="s">
        <v>99</v>
      </c>
      <c r="I17" s="40" t="s">
        <v>102</v>
      </c>
      <c r="J17" s="37" t="s">
        <v>81</v>
      </c>
      <c r="K17" s="140" t="s">
        <v>82</v>
      </c>
      <c r="L17" s="140"/>
      <c r="M17" s="44">
        <f>DATE(2026,8,1)</f>
        <v>46235</v>
      </c>
      <c r="N17" s="40"/>
      <c r="O17" s="142"/>
      <c r="P17" s="140" t="s">
        <v>83</v>
      </c>
      <c r="Q17" s="40" t="s">
        <v>45</v>
      </c>
      <c r="R17" s="38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>0</v>
      </c>
    </row>
    <row r="18" spans="1:18" ht="30.75" customHeight="1">
      <c r="A18" s="39">
        <v>13</v>
      </c>
      <c r="B18" s="37" t="s">
        <v>75</v>
      </c>
      <c r="C18" s="40" t="s">
        <v>97</v>
      </c>
      <c r="D18" s="140" t="s">
        <v>87</v>
      </c>
      <c r="E18" s="140" t="s">
        <v>78</v>
      </c>
      <c r="F18" s="42">
        <f>DATE(2026,9,10)</f>
        <v>46275</v>
      </c>
      <c r="G18" s="39"/>
      <c r="H18" s="37" t="s">
        <v>103</v>
      </c>
      <c r="I18" s="40" t="s">
        <v>104</v>
      </c>
      <c r="J18" s="37" t="s">
        <v>81</v>
      </c>
      <c r="K18" s="140" t="s">
        <v>82</v>
      </c>
      <c r="L18" s="140"/>
      <c r="M18" s="44">
        <f>DATE(2026,8,1)</f>
        <v>46235</v>
      </c>
      <c r="N18" s="40"/>
      <c r="O18" s="142"/>
      <c r="P18" s="140" t="s">
        <v>83</v>
      </c>
      <c r="Q18" s="40" t="s">
        <v>45</v>
      </c>
      <c r="R18" s="38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>0</v>
      </c>
    </row>
    <row r="19" spans="1:18" ht="30.75" customHeight="1">
      <c r="A19" s="39"/>
      <c r="B19" s="37" t="s">
        <v>86</v>
      </c>
      <c r="C19" s="40" t="s">
        <v>105</v>
      </c>
      <c r="D19" s="140" t="s">
        <v>88</v>
      </c>
      <c r="E19" s="140" t="s">
        <v>106</v>
      </c>
      <c r="F19" s="42"/>
      <c r="G19" s="39"/>
      <c r="H19" s="37" t="s">
        <v>99</v>
      </c>
      <c r="I19" s="40"/>
      <c r="J19" s="37" t="s">
        <v>81</v>
      </c>
      <c r="K19" s="140"/>
      <c r="L19" s="140"/>
      <c r="M19" s="44"/>
      <c r="N19" s="40"/>
      <c r="O19" s="43"/>
      <c r="P19" s="140"/>
      <c r="Q19" s="40"/>
      <c r="R19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20" spans="1:18" ht="30.75" customHeight="1">
      <c r="A20" s="39"/>
      <c r="B20" s="37" t="s">
        <v>86</v>
      </c>
      <c r="C20" s="40" t="s">
        <v>105</v>
      </c>
      <c r="D20" s="140" t="s">
        <v>107</v>
      </c>
      <c r="E20" s="140" t="s">
        <v>106</v>
      </c>
      <c r="F20" s="42"/>
      <c r="G20" s="39"/>
      <c r="H20" s="37" t="s">
        <v>99</v>
      </c>
      <c r="I20" s="40"/>
      <c r="J20" s="37" t="s">
        <v>81</v>
      </c>
      <c r="K20" s="140"/>
      <c r="L20" s="140"/>
      <c r="M20" s="44"/>
      <c r="N20" s="40"/>
      <c r="O20" s="43"/>
      <c r="P20" s="140"/>
      <c r="Q20" s="40"/>
      <c r="R20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21" spans="1:18" ht="30.75" customHeight="1">
      <c r="A21" s="39">
        <v>7</v>
      </c>
      <c r="B21" s="37" t="s">
        <v>86</v>
      </c>
      <c r="C21" s="40" t="s">
        <v>108</v>
      </c>
      <c r="D21" s="140" t="s">
        <v>109</v>
      </c>
      <c r="E21" s="140" t="s">
        <v>110</v>
      </c>
      <c r="F21" s="42"/>
      <c r="G21" s="39"/>
      <c r="H21" s="37" t="s">
        <v>103</v>
      </c>
      <c r="I21" s="40" t="s">
        <v>111</v>
      </c>
      <c r="J21" s="37" t="s">
        <v>81</v>
      </c>
      <c r="K21" s="140" t="s">
        <v>82</v>
      </c>
      <c r="L21" s="140" t="s">
        <v>112</v>
      </c>
      <c r="M21" s="44">
        <f>DATE(2026,8,1)</f>
        <v>46235</v>
      </c>
      <c r="N21" s="40"/>
      <c r="O21" s="43"/>
      <c r="P21" s="140" t="s">
        <v>83</v>
      </c>
      <c r="Q21" s="40" t="s">
        <v>17</v>
      </c>
      <c r="R21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22" spans="1:18" ht="30.75" customHeight="1">
      <c r="A22" s="39">
        <v>8</v>
      </c>
      <c r="B22" s="37" t="s">
        <v>86</v>
      </c>
      <c r="C22" s="40" t="s">
        <v>113</v>
      </c>
      <c r="D22" s="140" t="s">
        <v>114</v>
      </c>
      <c r="E22" s="140" t="s">
        <v>110</v>
      </c>
      <c r="F22" s="42"/>
      <c r="G22" s="39"/>
      <c r="H22" s="37" t="s">
        <v>103</v>
      </c>
      <c r="I22" s="40" t="s">
        <v>115</v>
      </c>
      <c r="J22" s="37" t="s">
        <v>81</v>
      </c>
      <c r="K22" s="140" t="s">
        <v>82</v>
      </c>
      <c r="L22" s="140" t="s">
        <v>116</v>
      </c>
      <c r="M22" s="44">
        <f>DATE(2026,8,1)</f>
        <v>46235</v>
      </c>
      <c r="N22" s="40"/>
      <c r="O22" s="43"/>
      <c r="P22" s="140" t="s">
        <v>83</v>
      </c>
      <c r="Q22" s="40" t="s">
        <v>17</v>
      </c>
      <c r="R22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23" spans="1:18" ht="30.75" customHeight="1">
      <c r="A23" s="39">
        <v>9</v>
      </c>
      <c r="B23" s="37" t="s">
        <v>86</v>
      </c>
      <c r="C23" s="40" t="s">
        <v>108</v>
      </c>
      <c r="D23" s="140" t="s">
        <v>117</v>
      </c>
      <c r="E23" s="140" t="s">
        <v>110</v>
      </c>
      <c r="F23" s="42"/>
      <c r="G23" s="39"/>
      <c r="H23" s="37" t="s">
        <v>103</v>
      </c>
      <c r="I23" s="40" t="s">
        <v>118</v>
      </c>
      <c r="J23" s="37" t="s">
        <v>81</v>
      </c>
      <c r="K23" s="140" t="s">
        <v>82</v>
      </c>
      <c r="L23" s="140" t="s">
        <v>116</v>
      </c>
      <c r="M23" s="44">
        <f>DATE(2026,8,1)</f>
        <v>46235</v>
      </c>
      <c r="N23" s="40"/>
      <c r="O23" s="43"/>
      <c r="P23" s="140" t="s">
        <v>83</v>
      </c>
      <c r="Q23" s="40" t="s">
        <v>17</v>
      </c>
      <c r="R23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24" spans="1:18" s="139" customFormat="1" ht="30.75" customHeight="1">
      <c r="A24" s="39">
        <v>10</v>
      </c>
      <c r="B24" s="37" t="s">
        <v>86</v>
      </c>
      <c r="C24" s="40" t="s">
        <v>108</v>
      </c>
      <c r="D24" s="140" t="s">
        <v>119</v>
      </c>
      <c r="E24" s="140" t="s">
        <v>110</v>
      </c>
      <c r="F24" s="42"/>
      <c r="G24" s="39"/>
      <c r="H24" s="37" t="s">
        <v>103</v>
      </c>
      <c r="I24" s="40" t="s">
        <v>120</v>
      </c>
      <c r="J24" s="37" t="s">
        <v>81</v>
      </c>
      <c r="K24" s="140" t="s">
        <v>82</v>
      </c>
      <c r="L24" s="140"/>
      <c r="M24" s="44">
        <f>DATE(2026,8,1)</f>
        <v>46235</v>
      </c>
      <c r="N24" s="40"/>
      <c r="O24" s="142"/>
      <c r="P24" s="140" t="s">
        <v>83</v>
      </c>
      <c r="Q24" s="40" t="s">
        <v>17</v>
      </c>
      <c r="R24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25" spans="1:18" s="139" customFormat="1" ht="30.75" customHeight="1">
      <c r="A25" s="39"/>
      <c r="B25" s="37" t="s">
        <v>121</v>
      </c>
      <c r="C25" s="40" t="s">
        <v>110</v>
      </c>
      <c r="D25" s="140" t="s">
        <v>122</v>
      </c>
      <c r="E25" s="140"/>
      <c r="F25" s="42"/>
      <c r="G25" s="39"/>
      <c r="H25" s="37" t="s">
        <v>103</v>
      </c>
      <c r="I25" s="40"/>
      <c r="J25" s="37" t="s">
        <v>81</v>
      </c>
      <c r="K25" s="140"/>
      <c r="L25" s="140"/>
      <c r="M25" s="44"/>
      <c r="N25" s="40"/>
      <c r="O25" s="43"/>
      <c r="P25" s="140"/>
      <c r="Q25" s="40"/>
      <c r="R25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26" spans="1:18" s="139" customFormat="1" ht="30.75" customHeight="1">
      <c r="A26" s="39"/>
      <c r="B26" s="37" t="s">
        <v>121</v>
      </c>
      <c r="C26" s="40" t="s">
        <v>123</v>
      </c>
      <c r="D26" s="140"/>
      <c r="E26" s="140"/>
      <c r="F26" s="42"/>
      <c r="G26" s="39"/>
      <c r="H26" s="37" t="s">
        <v>103</v>
      </c>
      <c r="I26" s="40"/>
      <c r="J26" s="37" t="s">
        <v>81</v>
      </c>
      <c r="K26" s="140"/>
      <c r="L26" s="140"/>
      <c r="M26" s="44"/>
      <c r="N26" s="40"/>
      <c r="O26" s="43"/>
      <c r="P26" s="140"/>
      <c r="Q26" s="40"/>
      <c r="R26" s="38" t="str">
        <f ca="1">IF(OR(Daily_Priorities[[#This Row],[Task]]="",Daily_Priorities[[#This Row],[Due date]]="",Daily_Priorities[[#This Row],[Status]]="Done",Daily_Priorities[[#This Row],[Status]]="Not applicable"),"",MAX(0,TODAY()-Daily_Priorities[[#This Row],[Due date]]))</f>
        <v/>
      </c>
    </row>
    <row r="27" spans="1:18">
      <c r="A27" s="149" t="s">
        <v>124</v>
      </c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</row>
    <row r="28" spans="1:18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</row>
  </sheetData>
  <mergeCells count="14">
    <mergeCell ref="A1:R1"/>
    <mergeCell ref="A2:R2"/>
    <mergeCell ref="A7:R7"/>
    <mergeCell ref="A27:R27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</mergeCells>
  <conditionalFormatting sqref="B9:B26">
    <cfRule type="expression" dxfId="188" priority="1">
      <formula>$B9="P1 - Critical"</formula>
    </cfRule>
  </conditionalFormatting>
  <conditionalFormatting sqref="B9:B26">
    <cfRule type="expression" dxfId="187" priority="2">
      <formula>$B9="P2 - Important"</formula>
    </cfRule>
  </conditionalFormatting>
  <conditionalFormatting sqref="B9:B26">
    <cfRule type="expression" dxfId="186" priority="3">
      <formula>$B9="P3 - Routine"</formula>
    </cfRule>
  </conditionalFormatting>
  <conditionalFormatting sqref="H9:H26">
    <cfRule type="expression" dxfId="185" priority="4">
      <formula>OR(ISNUMBER(SEARCH("blocked",H9)),ISNUMBER(SEARCH("overdue",H9)))</formula>
    </cfRule>
  </conditionalFormatting>
  <conditionalFormatting sqref="H9:H26">
    <cfRule type="expression" dxfId="184" priority="5">
      <formula>OR(ISNUMBER(SEARCH("waiting",H9)),ISNUMBER(SEARCH("client prepare",H9)),LEFT(LOWER(TRIM(H9)),3)="co ",ISNUMBER(SEARCH("unreconciled",H9)))</formula>
    </cfRule>
  </conditionalFormatting>
  <conditionalFormatting sqref="H9:H26">
    <cfRule type="expression" dxfId="183" priority="6">
      <formula>OR(ISNUMBER(SEARCH("review",H9)),ISNUMBER(SEARCH("ready to lodge",H9)),ISNUMBER(SEARCH("out to sign",H9)))</formula>
    </cfRule>
  </conditionalFormatting>
  <conditionalFormatting sqref="H9:H26">
    <cfRule type="expression" dxfId="182" priority="7">
      <formula>OR(ISNUMBER(SEARCH("progress",H9)),LOWER(TRIM(H9))="wip")</formula>
    </cfRule>
  </conditionalFormatting>
  <conditionalFormatting sqref="H9:H26">
    <cfRule type="expression" dxfId="181" priority="8">
      <formula>OR(LOWER(TRIM(H9))="done",LOWER(TRIM(H9))="complete",LOWER(TRIM(H9))="completed",LOWER(TRIM(H9))="lodged")</formula>
    </cfRule>
  </conditionalFormatting>
  <conditionalFormatting sqref="H9:H26">
    <cfRule type="expression" dxfId="180" priority="9">
      <formula>OR(ISNUMBER(SEARCH("not started",H9)),ISNUMBER(SEARCH("unstarted",H9)),LOWER(TRIM(H9))="to do",LOWER(TRIM(H9))="not yet",LOWER(TRIM(H9))="n/a",LOWER(TRIM(H9))="na",LOWER(TRIM(H9))="n?a",LOWER(TRIM(H9))="not applicable")</formula>
    </cfRule>
  </conditionalFormatting>
  <dataValidations count="8">
    <dataValidation type="whole" allowBlank="1" showInputMessage="1" showErrorMessage="1" sqref="A9:A26" xr:uid="{6D83BF95-E591-4138-A358-7FC59431F439}">
      <formula1>1</formula1>
      <formula2>20</formula2>
    </dataValidation>
    <dataValidation type="list" allowBlank="1" showInputMessage="1" showErrorMessage="1" sqref="B9:B26" xr:uid="{DCE8F999-9B14-4D8E-85E7-1350CEB75AB2}">
      <formula1>"P1 - Critical,P2 - Important,P3 - Routine"</formula1>
    </dataValidation>
    <dataValidation type="list" allowBlank="1" showInputMessage="1" showErrorMessage="1" sqref="E9:E26" xr:uid="{E1316419-7553-420B-8686-A01E755F2973}">
      <formula1>"BAS / IAS,Bookkeeping,Payroll / STP,Payroll Tax,Supplier Payments,Management Reports,Client Follow-up,Admin / Other"</formula1>
    </dataValidation>
    <dataValidation type="whole" allowBlank="1" showInputMessage="1" showErrorMessage="1" sqref="G9:G26" xr:uid="{B1431552-B082-4AD2-8511-D0B037C891A7}">
      <formula1>0</formula1>
      <formula2>1440</formula2>
    </dataValidation>
    <dataValidation type="list" allowBlank="1" showInputMessage="1" showErrorMessage="1" sqref="J9:J26" xr:uid="{2F856483-EBD8-46EB-9227-79919C1D668E}">
      <formula1>"No,Yes"</formula1>
    </dataValidation>
    <dataValidation type="date" allowBlank="1" showInputMessage="1" showErrorMessage="1" errorTitle="Enter a valid due date" error="Choose or enter a date between 2026 and 2030." promptTitle="Due date" prompt="Enter a date, for example 6/08/2026." sqref="F9:F26" xr:uid="{5C347B19-52C3-4BE6-A2A5-983094F304FA}">
      <formula1>46023</formula1>
      <formula2>47848</formula2>
    </dataValidation>
    <dataValidation type="list" allowBlank="1" showInputMessage="1" showErrorMessage="1" sqref="H9:H26" xr:uid="{B751DD1C-655D-4465-BB7E-A7CC6471D76C}">
      <formula1>"Not started,In progress,Waiting on client,For review,Ready to lodge,Done,Not applicable"</formula1>
    </dataValidation>
    <dataValidation type="list" allowBlank="1" showInputMessage="1" showErrorMessage="1" sqref="P9:P26" xr:uid="{CDFB10D4-2A83-46CC-9199-E93BC0030FE4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7244-AF70-4E6E-8936-9E764058E17A}">
  <sheetPr>
    <tabColor rgb="FF92D050"/>
  </sheetPr>
  <dimension ref="A1:F42"/>
  <sheetViews>
    <sheetView workbookViewId="0">
      <selection activeCell="C13" sqref="C13"/>
    </sheetView>
  </sheetViews>
  <sheetFormatPr defaultRowHeight="15"/>
  <cols>
    <col min="1" max="1" width="10.140625" customWidth="1"/>
    <col min="2" max="2" width="17.5703125" customWidth="1"/>
    <col min="3" max="3" width="36.140625" customWidth="1"/>
    <col min="4" max="4" width="15.5703125" customWidth="1"/>
    <col min="5" max="5" width="17.5703125" customWidth="1"/>
    <col min="6" max="6" width="38.140625" customWidth="1"/>
  </cols>
  <sheetData>
    <row r="1" spans="1:6" ht="23.25">
      <c r="A1" s="154" t="s">
        <v>125</v>
      </c>
      <c r="B1" s="154"/>
      <c r="C1" s="154"/>
      <c r="D1" s="154"/>
      <c r="E1" s="154"/>
      <c r="F1" s="154"/>
    </row>
    <row r="2" spans="1:6">
      <c r="A2" s="140"/>
      <c r="B2" s="140"/>
      <c r="C2" s="140"/>
      <c r="D2" s="140"/>
      <c r="E2" s="140"/>
      <c r="F2" s="140"/>
    </row>
    <row r="3" spans="1:6">
      <c r="A3" s="155"/>
      <c r="B3" s="155"/>
      <c r="C3" s="155" t="s">
        <v>126</v>
      </c>
      <c r="D3" s="155"/>
      <c r="E3" s="155" t="s">
        <v>127</v>
      </c>
      <c r="F3" s="155"/>
    </row>
    <row r="4" spans="1:6" ht="18.75">
      <c r="A4" s="156"/>
      <c r="B4" s="156"/>
      <c r="C4" s="156">
        <f>COUNTIF(Personal_Appointment_Checklist[Status],"&lt;&gt;Done")</f>
        <v>4</v>
      </c>
      <c r="D4" s="156"/>
      <c r="E4" s="156">
        <f>COUNTIF(Personal_Appointment_Checklist[Status],"Done")</f>
        <v>1</v>
      </c>
      <c r="F4" s="156"/>
    </row>
    <row r="5" spans="1:6">
      <c r="A5" s="140"/>
      <c r="B5" s="140"/>
      <c r="C5" s="140"/>
      <c r="D5" s="140"/>
      <c r="E5" s="140"/>
      <c r="F5" s="140"/>
    </row>
    <row r="6" spans="1:6" ht="15.75">
      <c r="A6" s="153" t="s">
        <v>128</v>
      </c>
      <c r="B6" s="153"/>
      <c r="C6" s="153"/>
      <c r="D6" s="153"/>
      <c r="E6" s="153"/>
      <c r="F6" s="153"/>
    </row>
    <row r="7" spans="1:6">
      <c r="A7" s="37" t="s">
        <v>57</v>
      </c>
      <c r="B7" s="37" t="s">
        <v>129</v>
      </c>
      <c r="C7" s="37" t="s">
        <v>59</v>
      </c>
      <c r="D7" s="37" t="s">
        <v>62</v>
      </c>
      <c r="E7" s="37" t="s">
        <v>64</v>
      </c>
      <c r="F7" s="37" t="s">
        <v>130</v>
      </c>
    </row>
    <row r="8" spans="1:6">
      <c r="A8" s="39">
        <v>1</v>
      </c>
      <c r="B8" s="140" t="s">
        <v>131</v>
      </c>
      <c r="C8" s="40" t="s">
        <v>132</v>
      </c>
      <c r="D8" s="42">
        <v>46254</v>
      </c>
      <c r="E8" s="37" t="s">
        <v>103</v>
      </c>
      <c r="F8" s="40"/>
    </row>
    <row r="9" spans="1:6">
      <c r="A9" s="39">
        <v>2</v>
      </c>
      <c r="B9" s="140" t="s">
        <v>131</v>
      </c>
      <c r="C9" s="40" t="s">
        <v>133</v>
      </c>
      <c r="D9" s="42">
        <v>46254</v>
      </c>
      <c r="E9" s="37" t="s">
        <v>79</v>
      </c>
      <c r="F9" s="40"/>
    </row>
    <row r="10" spans="1:6">
      <c r="A10" s="39">
        <v>3</v>
      </c>
      <c r="B10" s="140" t="s">
        <v>134</v>
      </c>
      <c r="C10" s="40" t="s">
        <v>135</v>
      </c>
      <c r="D10" s="42">
        <v>46253</v>
      </c>
      <c r="E10" s="37" t="s">
        <v>103</v>
      </c>
      <c r="F10" s="40"/>
    </row>
    <row r="11" spans="1:6" ht="45.75">
      <c r="A11" s="39">
        <v>4</v>
      </c>
      <c r="B11" s="140" t="s">
        <v>134</v>
      </c>
      <c r="C11" s="40" t="s">
        <v>136</v>
      </c>
      <c r="D11" s="42">
        <v>46255</v>
      </c>
      <c r="E11" s="37"/>
      <c r="F11" s="40"/>
    </row>
    <row r="12" spans="1:6">
      <c r="A12" s="39">
        <v>5</v>
      </c>
      <c r="B12" s="140" t="s">
        <v>137</v>
      </c>
      <c r="C12" s="40" t="s">
        <v>138</v>
      </c>
      <c r="D12" s="42"/>
      <c r="E12" s="37"/>
      <c r="F12" s="40"/>
    </row>
    <row r="13" spans="1:6">
      <c r="A13" s="140"/>
      <c r="B13" s="140"/>
      <c r="C13" s="140"/>
      <c r="D13" s="140"/>
      <c r="E13" s="140"/>
      <c r="F13" s="140"/>
    </row>
    <row r="14" spans="1:6">
      <c r="A14" s="140"/>
      <c r="B14" s="140"/>
      <c r="C14" s="140"/>
      <c r="D14" s="140"/>
      <c r="E14" s="140"/>
      <c r="F14" s="140"/>
    </row>
    <row r="15" spans="1:6">
      <c r="A15" s="140"/>
      <c r="B15" s="140"/>
      <c r="C15" s="140"/>
      <c r="D15" s="140"/>
      <c r="E15" s="140"/>
      <c r="F15" s="140"/>
    </row>
    <row r="16" spans="1:6">
      <c r="A16" s="140"/>
      <c r="B16" s="140"/>
      <c r="C16" s="140"/>
      <c r="D16" s="140"/>
      <c r="E16" s="140"/>
      <c r="F16" s="140"/>
    </row>
    <row r="17" spans="1:6">
      <c r="A17" s="140"/>
      <c r="B17" s="140"/>
      <c r="C17" s="140"/>
      <c r="D17" s="140"/>
      <c r="E17" s="140"/>
      <c r="F17" s="140"/>
    </row>
    <row r="18" spans="1:6">
      <c r="A18" s="140"/>
      <c r="B18" s="140"/>
      <c r="C18" s="140"/>
      <c r="D18" s="140"/>
      <c r="E18" s="140"/>
      <c r="F18" s="140"/>
    </row>
    <row r="19" spans="1:6">
      <c r="A19" s="140"/>
      <c r="B19" s="140"/>
      <c r="C19" s="140"/>
      <c r="D19" s="140"/>
      <c r="E19" s="140"/>
      <c r="F19" s="140"/>
    </row>
    <row r="20" spans="1:6">
      <c r="A20" s="140"/>
      <c r="B20" s="140"/>
      <c r="C20" s="140"/>
      <c r="D20" s="140"/>
      <c r="E20" s="140"/>
      <c r="F20" s="140"/>
    </row>
    <row r="21" spans="1:6">
      <c r="A21" s="140"/>
      <c r="B21" s="140"/>
      <c r="C21" s="140"/>
      <c r="D21" s="140"/>
      <c r="E21" s="140"/>
      <c r="F21" s="140"/>
    </row>
    <row r="22" spans="1:6">
      <c r="A22" s="140"/>
      <c r="B22" s="140"/>
      <c r="C22" s="140"/>
      <c r="D22" s="140"/>
      <c r="E22" s="140"/>
      <c r="F22" s="140"/>
    </row>
    <row r="23" spans="1:6">
      <c r="A23" s="140"/>
      <c r="B23" s="140"/>
      <c r="C23" s="140"/>
      <c r="D23" s="140"/>
      <c r="E23" s="140"/>
      <c r="F23" s="140"/>
    </row>
    <row r="24" spans="1:6">
      <c r="A24" s="140"/>
      <c r="B24" s="140"/>
      <c r="C24" s="140"/>
      <c r="D24" s="140"/>
      <c r="E24" s="140"/>
      <c r="F24" s="140"/>
    </row>
    <row r="25" spans="1:6">
      <c r="A25" s="140"/>
      <c r="B25" s="140"/>
      <c r="C25" s="140"/>
      <c r="D25" s="140"/>
      <c r="E25" s="140"/>
      <c r="F25" s="140"/>
    </row>
    <row r="26" spans="1:6">
      <c r="A26" s="140"/>
      <c r="B26" s="140"/>
      <c r="C26" s="140"/>
      <c r="D26" s="140"/>
      <c r="E26" s="140"/>
      <c r="F26" s="140"/>
    </row>
    <row r="27" spans="1:6">
      <c r="A27" s="140"/>
      <c r="B27" s="140"/>
      <c r="C27" s="140"/>
      <c r="D27" s="140"/>
      <c r="E27" s="140"/>
      <c r="F27" s="140"/>
    </row>
    <row r="28" spans="1:6">
      <c r="A28" s="140"/>
      <c r="B28" s="140"/>
      <c r="C28" s="140"/>
      <c r="D28" s="140"/>
      <c r="E28" s="140"/>
      <c r="F28" s="140"/>
    </row>
    <row r="29" spans="1:6">
      <c r="A29" s="140"/>
      <c r="B29" s="140"/>
      <c r="C29" s="140"/>
      <c r="D29" s="140"/>
      <c r="E29" s="140"/>
      <c r="F29" s="140"/>
    </row>
    <row r="30" spans="1:6">
      <c r="A30" s="140"/>
      <c r="B30" s="140"/>
      <c r="C30" s="140"/>
      <c r="D30" s="140"/>
      <c r="E30" s="140"/>
      <c r="F30" s="140"/>
    </row>
    <row r="31" spans="1:6">
      <c r="A31" s="140"/>
      <c r="B31" s="140"/>
      <c r="C31" s="140"/>
      <c r="D31" s="140"/>
      <c r="E31" s="140"/>
      <c r="F31" s="140"/>
    </row>
    <row r="32" spans="1:6">
      <c r="A32" s="140"/>
      <c r="B32" s="140"/>
      <c r="C32" s="140"/>
      <c r="D32" s="140"/>
      <c r="E32" s="140"/>
      <c r="F32" s="140"/>
    </row>
    <row r="33" spans="1:6">
      <c r="A33" s="140"/>
      <c r="B33" s="140"/>
      <c r="C33" s="140"/>
      <c r="D33" s="140"/>
      <c r="E33" s="140"/>
      <c r="F33" s="140"/>
    </row>
    <row r="34" spans="1:6">
      <c r="A34" s="140"/>
      <c r="B34" s="140"/>
      <c r="C34" s="140"/>
      <c r="D34" s="140"/>
      <c r="E34" s="140"/>
      <c r="F34" s="140"/>
    </row>
    <row r="35" spans="1:6">
      <c r="A35" s="140"/>
      <c r="B35" s="140"/>
      <c r="C35" s="140"/>
      <c r="D35" s="140"/>
      <c r="E35" s="140"/>
      <c r="F35" s="140"/>
    </row>
    <row r="36" spans="1:6">
      <c r="A36" s="140"/>
      <c r="B36" s="140"/>
      <c r="C36" s="140"/>
      <c r="D36" s="140"/>
      <c r="E36" s="140"/>
      <c r="F36" s="140"/>
    </row>
    <row r="37" spans="1:6">
      <c r="A37" s="140"/>
      <c r="B37" s="140"/>
      <c r="C37" s="140"/>
      <c r="D37" s="140"/>
      <c r="E37" s="140"/>
      <c r="F37" s="140"/>
    </row>
    <row r="38" spans="1:6">
      <c r="A38" s="140"/>
      <c r="B38" s="140"/>
      <c r="C38" s="140"/>
      <c r="D38" s="140"/>
      <c r="E38" s="140"/>
      <c r="F38" s="140"/>
    </row>
    <row r="39" spans="1:6">
      <c r="A39" s="140"/>
      <c r="B39" s="140"/>
      <c r="C39" s="140"/>
      <c r="D39" s="140"/>
      <c r="E39" s="140"/>
      <c r="F39" s="140"/>
    </row>
    <row r="40" spans="1:6">
      <c r="A40" s="140"/>
      <c r="B40" s="140"/>
      <c r="C40" s="140"/>
      <c r="D40" s="140"/>
      <c r="E40" s="140"/>
      <c r="F40" s="140"/>
    </row>
    <row r="41" spans="1:6">
      <c r="A41" s="140"/>
      <c r="B41" s="140"/>
      <c r="C41" s="140"/>
      <c r="D41" s="140"/>
      <c r="E41" s="140"/>
      <c r="F41" s="140"/>
    </row>
    <row r="42" spans="1:6">
      <c r="A42" s="140"/>
      <c r="B42" s="140"/>
      <c r="C42" s="140"/>
      <c r="D42" s="140"/>
      <c r="E42" s="140"/>
      <c r="F42" s="140"/>
    </row>
  </sheetData>
  <mergeCells count="8">
    <mergeCell ref="A6:F6"/>
    <mergeCell ref="A1:F1"/>
    <mergeCell ref="A3:B3"/>
    <mergeCell ref="C3:D3"/>
    <mergeCell ref="E3:F3"/>
    <mergeCell ref="A4:B4"/>
    <mergeCell ref="C4:D4"/>
    <mergeCell ref="E4:F4"/>
  </mergeCells>
  <conditionalFormatting sqref="E8:E12">
    <cfRule type="expression" dxfId="165" priority="1">
      <formula>OR(ISNUMBER(SEARCH("blocked",E8)),ISNUMBER(SEARCH("overdue",E8)))</formula>
    </cfRule>
  </conditionalFormatting>
  <conditionalFormatting sqref="E8:E12">
    <cfRule type="expression" dxfId="164" priority="2">
      <formula>OR(ISNUMBER(SEARCH("waiting",E8)),ISNUMBER(SEARCH("client prepare",E8)),LEFT(LOWER(TRIM(E8)),3)="co ",ISNUMBER(SEARCH("unreconciled",E8)))</formula>
    </cfRule>
  </conditionalFormatting>
  <conditionalFormatting sqref="E8:E12">
    <cfRule type="expression" dxfId="163" priority="3">
      <formula>OR(ISNUMBER(SEARCH("review",E8)),ISNUMBER(SEARCH("ready to lodge",E8)),ISNUMBER(SEARCH("out to sign",E8)))</formula>
    </cfRule>
  </conditionalFormatting>
  <conditionalFormatting sqref="E8:E12">
    <cfRule type="expression" dxfId="162" priority="4">
      <formula>OR(ISNUMBER(SEARCH("progress",E8)),LOWER(TRIM(E8))="wip")</formula>
    </cfRule>
  </conditionalFormatting>
  <conditionalFormatting sqref="E8:E12">
    <cfRule type="expression" dxfId="161" priority="5">
      <formula>OR(LOWER(TRIM(E8))="done",LOWER(TRIM(E8))="complete",LOWER(TRIM(E8))="completed",LOWER(TRIM(E8))="lodged")</formula>
    </cfRule>
  </conditionalFormatting>
  <conditionalFormatting sqref="E8:E12">
    <cfRule type="expression" dxfId="160" priority="6">
      <formula>OR(ISNUMBER(SEARCH("not started",E8)),ISNUMBER(SEARCH("unstarted",E8)),LOWER(TRIM(E8))="to do",LOWER(TRIM(E8))="not yet",LOWER(TRIM(E8))="n/a",LOWER(TRIM(E8))="na",LOWER(TRIM(E8))="n?a",LOWER(TRIM(E8))="not applicable")</formula>
    </cfRule>
  </conditionalFormatting>
  <dataValidations count="1">
    <dataValidation type="list" allowBlank="1" showInputMessage="1" showErrorMessage="1" sqref="E8:E12" xr:uid="{04E0E964-4191-4B65-9502-CB907D3D8131}">
      <formula1>"Not started,In progress,Done"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4"/>
  <sheetViews>
    <sheetView showGridLines="0" workbookViewId="0">
      <pane xSplit="3" topLeftCell="D1" activePane="topRight" state="frozen"/>
      <selection pane="topRight" activeCell="J16" sqref="J16"/>
    </sheetView>
  </sheetViews>
  <sheetFormatPr defaultColWidth="14.42578125" defaultRowHeight="15" customHeight="1"/>
  <cols>
    <col min="1" max="1" width="15.42578125" bestFit="1" customWidth="1"/>
    <col min="2" max="2" width="15.42578125" style="128" customWidth="1"/>
    <col min="3" max="3" width="8.85546875" bestFit="1" customWidth="1"/>
    <col min="4" max="8" width="7.28515625" bestFit="1" customWidth="1"/>
    <col min="9" max="12" width="8" bestFit="1" customWidth="1"/>
    <col min="13" max="13" width="10.140625" customWidth="1"/>
    <col min="14" max="18" width="8" bestFit="1" customWidth="1"/>
    <col min="19" max="33" width="8" customWidth="1"/>
  </cols>
  <sheetData>
    <row r="1" spans="1:34" ht="19.5" customHeight="1">
      <c r="A1" s="54" t="s">
        <v>50</v>
      </c>
      <c r="B1" s="54"/>
      <c r="C1" s="14"/>
      <c r="D1" s="14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</row>
    <row r="2" spans="1:34" ht="21.75" customHeight="1">
      <c r="A2" s="8"/>
      <c r="B2" s="8"/>
      <c r="C2" s="8"/>
      <c r="D2" s="8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</row>
    <row r="3" spans="1:34" ht="21.75" customHeight="1">
      <c r="A3" s="8" t="s">
        <v>139</v>
      </c>
      <c r="B3" s="8" t="s">
        <v>130</v>
      </c>
      <c r="C3" s="8" t="s">
        <v>140</v>
      </c>
      <c r="D3" s="6" t="s">
        <v>141</v>
      </c>
      <c r="E3" s="6" t="s">
        <v>142</v>
      </c>
      <c r="F3" s="6" t="s">
        <v>143</v>
      </c>
      <c r="G3" s="6" t="s">
        <v>144</v>
      </c>
      <c r="H3" s="6" t="s">
        <v>145</v>
      </c>
      <c r="I3" s="6" t="s">
        <v>146</v>
      </c>
      <c r="J3" s="6" t="s">
        <v>147</v>
      </c>
      <c r="K3" s="6" t="s">
        <v>148</v>
      </c>
      <c r="L3" s="6" t="s">
        <v>149</v>
      </c>
      <c r="M3" s="6" t="s">
        <v>150</v>
      </c>
      <c r="N3" s="6" t="s">
        <v>151</v>
      </c>
      <c r="O3" s="6" t="s">
        <v>152</v>
      </c>
      <c r="P3" s="6" t="s">
        <v>153</v>
      </c>
      <c r="Q3" s="6" t="s">
        <v>154</v>
      </c>
      <c r="R3" s="6" t="s">
        <v>155</v>
      </c>
      <c r="S3" s="6" t="s">
        <v>156</v>
      </c>
      <c r="T3" s="6" t="s">
        <v>157</v>
      </c>
      <c r="U3" s="6" t="s">
        <v>158</v>
      </c>
      <c r="V3" s="6" t="s">
        <v>159</v>
      </c>
      <c r="W3" s="6" t="s">
        <v>160</v>
      </c>
      <c r="X3" s="6" t="s">
        <v>161</v>
      </c>
      <c r="Y3" s="6" t="s">
        <v>162</v>
      </c>
      <c r="Z3" s="6" t="s">
        <v>163</v>
      </c>
      <c r="AA3" s="6" t="s">
        <v>164</v>
      </c>
      <c r="AB3" s="6" t="s">
        <v>165</v>
      </c>
      <c r="AC3" s="6" t="s">
        <v>166</v>
      </c>
      <c r="AD3" s="6" t="s">
        <v>167</v>
      </c>
      <c r="AE3" s="6" t="s">
        <v>168</v>
      </c>
      <c r="AF3" s="6" t="s">
        <v>169</v>
      </c>
      <c r="AG3" s="6" t="s">
        <v>170</v>
      </c>
      <c r="AH3" s="140"/>
    </row>
    <row r="4" spans="1:34" ht="21.75" customHeight="1">
      <c r="A4" s="99" t="s">
        <v>171</v>
      </c>
      <c r="B4" s="99" t="s">
        <v>25</v>
      </c>
      <c r="C4" s="15" t="s">
        <v>172</v>
      </c>
      <c r="D4" s="16" t="s">
        <v>79</v>
      </c>
      <c r="E4" s="16" t="s">
        <v>79</v>
      </c>
      <c r="F4" s="16" t="s">
        <v>79</v>
      </c>
      <c r="G4" s="16" t="s">
        <v>79</v>
      </c>
      <c r="H4" s="16" t="s">
        <v>79</v>
      </c>
      <c r="I4" s="16" t="s">
        <v>79</v>
      </c>
      <c r="J4" s="16" t="s">
        <v>79</v>
      </c>
      <c r="K4" s="16" t="s">
        <v>79</v>
      </c>
      <c r="L4" s="16" t="s">
        <v>79</v>
      </c>
      <c r="M4" s="16" t="s">
        <v>99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40"/>
    </row>
    <row r="5" spans="1:34" ht="21.75" customHeight="1">
      <c r="A5" s="100" t="s">
        <v>84</v>
      </c>
      <c r="B5" s="99" t="s">
        <v>25</v>
      </c>
      <c r="C5" s="27" t="s">
        <v>172</v>
      </c>
      <c r="D5" s="16" t="s">
        <v>79</v>
      </c>
      <c r="E5" s="16" t="s">
        <v>79</v>
      </c>
      <c r="F5" s="16" t="s">
        <v>79</v>
      </c>
      <c r="G5" s="16" t="s">
        <v>79</v>
      </c>
      <c r="H5" s="16" t="s">
        <v>79</v>
      </c>
      <c r="I5" s="16" t="s">
        <v>79</v>
      </c>
      <c r="J5" s="16" t="s">
        <v>79</v>
      </c>
      <c r="K5" s="16" t="s">
        <v>79</v>
      </c>
      <c r="L5" s="16" t="s">
        <v>79</v>
      </c>
      <c r="M5" s="16" t="s">
        <v>99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40"/>
    </row>
    <row r="6" spans="1:34" ht="21.75" customHeight="1">
      <c r="A6" s="100" t="s">
        <v>173</v>
      </c>
      <c r="B6" s="99" t="s">
        <v>25</v>
      </c>
      <c r="C6" s="27" t="s">
        <v>172</v>
      </c>
      <c r="D6" s="16" t="s">
        <v>79</v>
      </c>
      <c r="E6" s="16" t="s">
        <v>79</v>
      </c>
      <c r="F6" s="16" t="s">
        <v>79</v>
      </c>
      <c r="G6" s="16" t="s">
        <v>79</v>
      </c>
      <c r="H6" s="16" t="s">
        <v>79</v>
      </c>
      <c r="I6" s="16" t="s">
        <v>79</v>
      </c>
      <c r="J6" s="16" t="s">
        <v>79</v>
      </c>
      <c r="K6" s="16" t="s">
        <v>79</v>
      </c>
      <c r="L6" s="16" t="s">
        <v>79</v>
      </c>
      <c r="M6" s="16" t="s">
        <v>79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40"/>
    </row>
    <row r="7" spans="1:34" ht="21.75" customHeight="1">
      <c r="A7" s="99" t="s">
        <v>174</v>
      </c>
      <c r="B7" s="99" t="s">
        <v>34</v>
      </c>
      <c r="C7" s="15" t="s">
        <v>175</v>
      </c>
      <c r="D7" s="136" t="s">
        <v>176</v>
      </c>
      <c r="E7" s="136" t="s">
        <v>176</v>
      </c>
      <c r="F7" s="136" t="s">
        <v>176</v>
      </c>
      <c r="G7" s="137" t="s">
        <v>79</v>
      </c>
      <c r="H7" s="136" t="s">
        <v>176</v>
      </c>
      <c r="I7" s="136" t="s">
        <v>176</v>
      </c>
      <c r="J7" s="136" t="s">
        <v>176</v>
      </c>
      <c r="K7" s="136" t="s">
        <v>176</v>
      </c>
      <c r="L7" s="137"/>
      <c r="M7" s="136" t="s">
        <v>176</v>
      </c>
      <c r="N7" s="136" t="s">
        <v>176</v>
      </c>
      <c r="O7" s="136" t="s">
        <v>176</v>
      </c>
      <c r="P7" s="136" t="s">
        <v>176</v>
      </c>
      <c r="Q7" s="137"/>
      <c r="R7" s="136" t="s">
        <v>176</v>
      </c>
      <c r="S7" s="136" t="s">
        <v>176</v>
      </c>
      <c r="T7" s="136" t="s">
        <v>176</v>
      </c>
      <c r="U7" s="136" t="s">
        <v>176</v>
      </c>
      <c r="V7" s="137"/>
      <c r="W7" s="136" t="s">
        <v>176</v>
      </c>
      <c r="X7" s="136" t="s">
        <v>176</v>
      </c>
      <c r="Y7" s="136" t="s">
        <v>176</v>
      </c>
      <c r="Z7" s="136" t="s">
        <v>176</v>
      </c>
      <c r="AA7" s="137"/>
      <c r="AB7" s="136" t="s">
        <v>176</v>
      </c>
      <c r="AC7" s="136" t="s">
        <v>176</v>
      </c>
      <c r="AD7" s="136" t="s">
        <v>176</v>
      </c>
      <c r="AE7" s="136" t="s">
        <v>176</v>
      </c>
      <c r="AF7" s="137"/>
      <c r="AG7" s="136" t="s">
        <v>176</v>
      </c>
      <c r="AH7" s="140"/>
    </row>
    <row r="8" spans="1:34" ht="21.75" customHeight="1">
      <c r="A8" s="100" t="s">
        <v>177</v>
      </c>
      <c r="B8" s="99" t="s">
        <v>34</v>
      </c>
      <c r="C8" s="27" t="s">
        <v>172</v>
      </c>
      <c r="D8" s="136" t="s">
        <v>176</v>
      </c>
      <c r="E8" s="136" t="s">
        <v>176</v>
      </c>
      <c r="F8" s="136" t="s">
        <v>176</v>
      </c>
      <c r="G8" s="137" t="s">
        <v>79</v>
      </c>
      <c r="H8" s="136" t="s">
        <v>176</v>
      </c>
      <c r="I8" s="136" t="s">
        <v>176</v>
      </c>
      <c r="J8" s="136" t="s">
        <v>176</v>
      </c>
      <c r="K8" s="136" t="s">
        <v>176</v>
      </c>
      <c r="L8" s="137"/>
      <c r="M8" s="136" t="s">
        <v>176</v>
      </c>
      <c r="N8" s="136" t="s">
        <v>176</v>
      </c>
      <c r="O8" s="136" t="s">
        <v>176</v>
      </c>
      <c r="P8" s="136" t="s">
        <v>176</v>
      </c>
      <c r="Q8" s="137"/>
      <c r="R8" s="136" t="s">
        <v>176</v>
      </c>
      <c r="S8" s="136" t="s">
        <v>176</v>
      </c>
      <c r="T8" s="136" t="s">
        <v>176</v>
      </c>
      <c r="U8" s="136" t="s">
        <v>176</v>
      </c>
      <c r="V8" s="137"/>
      <c r="W8" s="136" t="s">
        <v>176</v>
      </c>
      <c r="X8" s="136" t="s">
        <v>176</v>
      </c>
      <c r="Y8" s="136" t="s">
        <v>176</v>
      </c>
      <c r="Z8" s="136" t="s">
        <v>176</v>
      </c>
      <c r="AA8" s="137"/>
      <c r="AB8" s="136" t="s">
        <v>176</v>
      </c>
      <c r="AC8" s="136" t="s">
        <v>176</v>
      </c>
      <c r="AD8" s="136" t="s">
        <v>176</v>
      </c>
      <c r="AE8" s="136" t="s">
        <v>176</v>
      </c>
      <c r="AF8" s="137"/>
      <c r="AG8" s="136" t="s">
        <v>176</v>
      </c>
      <c r="AH8" s="140"/>
    </row>
    <row r="9" spans="1:34" ht="21.75" customHeight="1">
      <c r="A9" s="99" t="s">
        <v>178</v>
      </c>
      <c r="B9" s="99" t="s">
        <v>34</v>
      </c>
      <c r="C9" s="15" t="s">
        <v>179</v>
      </c>
      <c r="D9" s="136" t="s">
        <v>176</v>
      </c>
      <c r="E9" s="136" t="s">
        <v>176</v>
      </c>
      <c r="F9" s="136" t="s">
        <v>176</v>
      </c>
      <c r="G9" s="137" t="s">
        <v>79</v>
      </c>
      <c r="H9" s="136" t="s">
        <v>176</v>
      </c>
      <c r="I9" s="136" t="s">
        <v>176</v>
      </c>
      <c r="J9" s="136" t="s">
        <v>176</v>
      </c>
      <c r="K9" s="136" t="s">
        <v>176</v>
      </c>
      <c r="L9" s="137"/>
      <c r="M9" s="136" t="s">
        <v>176</v>
      </c>
      <c r="N9" s="136" t="s">
        <v>176</v>
      </c>
      <c r="O9" s="136" t="s">
        <v>176</v>
      </c>
      <c r="P9" s="136" t="s">
        <v>176</v>
      </c>
      <c r="Q9" s="137"/>
      <c r="R9" s="136" t="s">
        <v>176</v>
      </c>
      <c r="S9" s="136" t="s">
        <v>176</v>
      </c>
      <c r="T9" s="136" t="s">
        <v>176</v>
      </c>
      <c r="U9" s="136" t="s">
        <v>176</v>
      </c>
      <c r="V9" s="137"/>
      <c r="W9" s="136" t="s">
        <v>176</v>
      </c>
      <c r="X9" s="136" t="s">
        <v>176</v>
      </c>
      <c r="Y9" s="136" t="s">
        <v>176</v>
      </c>
      <c r="Z9" s="136" t="s">
        <v>176</v>
      </c>
      <c r="AA9" s="137"/>
      <c r="AB9" s="136" t="s">
        <v>176</v>
      </c>
      <c r="AC9" s="136" t="s">
        <v>176</v>
      </c>
      <c r="AD9" s="136" t="s">
        <v>176</v>
      </c>
      <c r="AE9" s="136" t="s">
        <v>176</v>
      </c>
      <c r="AF9" s="137"/>
      <c r="AG9" s="136" t="s">
        <v>176</v>
      </c>
      <c r="AH9" s="140"/>
    </row>
    <row r="10" spans="1:34" ht="21.75" customHeight="1">
      <c r="A10" s="100" t="s">
        <v>180</v>
      </c>
      <c r="B10" s="99" t="s">
        <v>34</v>
      </c>
      <c r="C10" s="27" t="s">
        <v>179</v>
      </c>
      <c r="D10" s="136" t="s">
        <v>176</v>
      </c>
      <c r="E10" s="136" t="s">
        <v>176</v>
      </c>
      <c r="F10" s="136" t="s">
        <v>176</v>
      </c>
      <c r="G10" s="137" t="s">
        <v>79</v>
      </c>
      <c r="H10" s="136" t="s">
        <v>176</v>
      </c>
      <c r="I10" s="136" t="s">
        <v>176</v>
      </c>
      <c r="J10" s="136" t="s">
        <v>176</v>
      </c>
      <c r="K10" s="136" t="s">
        <v>176</v>
      </c>
      <c r="L10" s="137"/>
      <c r="M10" s="136" t="s">
        <v>176</v>
      </c>
      <c r="N10" s="136" t="s">
        <v>176</v>
      </c>
      <c r="O10" s="136" t="s">
        <v>176</v>
      </c>
      <c r="P10" s="136" t="s">
        <v>176</v>
      </c>
      <c r="Q10" s="137"/>
      <c r="R10" s="136" t="s">
        <v>176</v>
      </c>
      <c r="S10" s="136" t="s">
        <v>176</v>
      </c>
      <c r="T10" s="136" t="s">
        <v>176</v>
      </c>
      <c r="U10" s="136" t="s">
        <v>176</v>
      </c>
      <c r="V10" s="137"/>
      <c r="W10" s="136" t="s">
        <v>176</v>
      </c>
      <c r="X10" s="136" t="s">
        <v>176</v>
      </c>
      <c r="Y10" s="136" t="s">
        <v>176</v>
      </c>
      <c r="Z10" s="136" t="s">
        <v>176</v>
      </c>
      <c r="AA10" s="137"/>
      <c r="AB10" s="136" t="s">
        <v>176</v>
      </c>
      <c r="AC10" s="136" t="s">
        <v>176</v>
      </c>
      <c r="AD10" s="136" t="s">
        <v>176</v>
      </c>
      <c r="AE10" s="136" t="s">
        <v>176</v>
      </c>
      <c r="AF10" s="137"/>
      <c r="AG10" s="136" t="s">
        <v>176</v>
      </c>
      <c r="AH10" s="140"/>
    </row>
    <row r="11" spans="1:34" ht="21.75" customHeight="1">
      <c r="A11" s="99" t="s">
        <v>181</v>
      </c>
      <c r="B11" s="99" t="s">
        <v>34</v>
      </c>
      <c r="C11" s="15" t="s">
        <v>172</v>
      </c>
      <c r="D11" s="136" t="s">
        <v>176</v>
      </c>
      <c r="E11" s="136" t="s">
        <v>176</v>
      </c>
      <c r="F11" s="136" t="s">
        <v>176</v>
      </c>
      <c r="G11" s="137" t="s">
        <v>79</v>
      </c>
      <c r="H11" s="136" t="s">
        <v>176</v>
      </c>
      <c r="I11" s="136" t="s">
        <v>176</v>
      </c>
      <c r="J11" s="136" t="s">
        <v>176</v>
      </c>
      <c r="K11" s="136" t="s">
        <v>176</v>
      </c>
      <c r="L11" s="137"/>
      <c r="M11" s="136" t="s">
        <v>176</v>
      </c>
      <c r="N11" s="136" t="s">
        <v>176</v>
      </c>
      <c r="O11" s="136" t="s">
        <v>176</v>
      </c>
      <c r="P11" s="136" t="s">
        <v>176</v>
      </c>
      <c r="Q11" s="137"/>
      <c r="R11" s="136" t="s">
        <v>176</v>
      </c>
      <c r="S11" s="136" t="s">
        <v>176</v>
      </c>
      <c r="T11" s="136" t="s">
        <v>176</v>
      </c>
      <c r="U11" s="136" t="s">
        <v>176</v>
      </c>
      <c r="V11" s="137"/>
      <c r="W11" s="136" t="s">
        <v>176</v>
      </c>
      <c r="X11" s="136" t="s">
        <v>176</v>
      </c>
      <c r="Y11" s="136" t="s">
        <v>176</v>
      </c>
      <c r="Z11" s="136" t="s">
        <v>176</v>
      </c>
      <c r="AA11" s="137"/>
      <c r="AB11" s="136" t="s">
        <v>176</v>
      </c>
      <c r="AC11" s="136" t="s">
        <v>176</v>
      </c>
      <c r="AD11" s="136" t="s">
        <v>176</v>
      </c>
      <c r="AE11" s="136" t="s">
        <v>176</v>
      </c>
      <c r="AF11" s="137"/>
      <c r="AG11" s="136" t="s">
        <v>176</v>
      </c>
      <c r="AH11" s="140"/>
    </row>
    <row r="12" spans="1:34" ht="24.75" customHeight="1">
      <c r="A12" s="100" t="s">
        <v>182</v>
      </c>
      <c r="B12" s="99" t="s">
        <v>34</v>
      </c>
      <c r="C12" s="27" t="s">
        <v>179</v>
      </c>
      <c r="D12" s="136" t="s">
        <v>176</v>
      </c>
      <c r="E12" s="136" t="s">
        <v>176</v>
      </c>
      <c r="F12" s="136" t="s">
        <v>176</v>
      </c>
      <c r="G12" s="137" t="s">
        <v>79</v>
      </c>
      <c r="H12" s="136" t="s">
        <v>176</v>
      </c>
      <c r="I12" s="136" t="s">
        <v>176</v>
      </c>
      <c r="J12" s="136" t="s">
        <v>176</v>
      </c>
      <c r="K12" s="136" t="s">
        <v>176</v>
      </c>
      <c r="L12" s="137"/>
      <c r="M12" s="136" t="s">
        <v>176</v>
      </c>
      <c r="N12" s="136" t="s">
        <v>176</v>
      </c>
      <c r="O12" s="136" t="s">
        <v>176</v>
      </c>
      <c r="P12" s="136" t="s">
        <v>176</v>
      </c>
      <c r="Q12" s="137"/>
      <c r="R12" s="136" t="s">
        <v>176</v>
      </c>
      <c r="S12" s="136" t="s">
        <v>176</v>
      </c>
      <c r="T12" s="136" t="s">
        <v>176</v>
      </c>
      <c r="U12" s="136" t="s">
        <v>176</v>
      </c>
      <c r="V12" s="137"/>
      <c r="W12" s="136" t="s">
        <v>176</v>
      </c>
      <c r="X12" s="136" t="s">
        <v>176</v>
      </c>
      <c r="Y12" s="136" t="s">
        <v>176</v>
      </c>
      <c r="Z12" s="136" t="s">
        <v>176</v>
      </c>
      <c r="AA12" s="137"/>
      <c r="AB12" s="136" t="s">
        <v>176</v>
      </c>
      <c r="AC12" s="136" t="s">
        <v>176</v>
      </c>
      <c r="AD12" s="136" t="s">
        <v>176</v>
      </c>
      <c r="AE12" s="136" t="s">
        <v>176</v>
      </c>
      <c r="AF12" s="137"/>
      <c r="AG12" s="136" t="s">
        <v>176</v>
      </c>
      <c r="AH12" s="140"/>
    </row>
    <row r="13" spans="1:34" ht="1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</row>
    <row r="14" spans="1:34" ht="15" customHeight="1">
      <c r="A14" s="41" t="s">
        <v>183</v>
      </c>
      <c r="B14" s="138" t="s">
        <v>184</v>
      </c>
      <c r="C14" s="138" t="s">
        <v>185</v>
      </c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</row>
  </sheetData>
  <conditionalFormatting sqref="D4:R12">
    <cfRule type="expression" dxfId="153" priority="19">
      <formula>OR(ISNUMBER(SEARCH("blocked",D4)),ISNUMBER(SEARCH("overdue",D4)))</formula>
    </cfRule>
  </conditionalFormatting>
  <conditionalFormatting sqref="D4:R12">
    <cfRule type="expression" dxfId="152" priority="20">
      <formula>OR(ISNUMBER(SEARCH("waiting",D4)),ISNUMBER(SEARCH("client prepare",D4)),LEFT(LOWER(TRIM(D4)),3)="co ",ISNUMBER(SEARCH("unreconciled",D4)))</formula>
    </cfRule>
  </conditionalFormatting>
  <conditionalFormatting sqref="D4:R12">
    <cfRule type="expression" dxfId="151" priority="21">
      <formula>OR(ISNUMBER(SEARCH("review",D4)),ISNUMBER(SEARCH("ready to lodge",D4)),ISNUMBER(SEARCH("out to sign",D4)))</formula>
    </cfRule>
  </conditionalFormatting>
  <conditionalFormatting sqref="D4:R12">
    <cfRule type="expression" dxfId="150" priority="22">
      <formula>OR(ISNUMBER(SEARCH("progress",D4)),LOWER(TRIM(D4))="wip")</formula>
    </cfRule>
  </conditionalFormatting>
  <conditionalFormatting sqref="D4:R12">
    <cfRule type="expression" dxfId="149" priority="23">
      <formula>OR(LOWER(TRIM(D4))="done",LOWER(TRIM(D4))="complete",LOWER(TRIM(D4))="completed",LOWER(TRIM(D4))="lodged")</formula>
    </cfRule>
  </conditionalFormatting>
  <conditionalFormatting sqref="D4:R12">
    <cfRule type="expression" dxfId="148" priority="24">
      <formula>OR(ISNUMBER(SEARCH("not started",D4)),ISNUMBER(SEARCH("unstarted",D4)),LOWER(TRIM(D4))="to do",LOWER(TRIM(D4))="not yet",LOWER(TRIM(D4))="n/a",LOWER(TRIM(D4))="na",LOWER(TRIM(D4))="n?a",LOWER(TRIM(D4))="not applicable")</formula>
    </cfRule>
  </conditionalFormatting>
  <conditionalFormatting sqref="S4:W12">
    <cfRule type="expression" dxfId="147" priority="13">
      <formula>OR(ISNUMBER(SEARCH("blocked",S4)),ISNUMBER(SEARCH("overdue",S4)))</formula>
    </cfRule>
  </conditionalFormatting>
  <conditionalFormatting sqref="S4:W12">
    <cfRule type="expression" dxfId="146" priority="14">
      <formula>OR(ISNUMBER(SEARCH("waiting",S4)),ISNUMBER(SEARCH("client prepare",S4)),LEFT(LOWER(TRIM(S4)),3)="co ",ISNUMBER(SEARCH("unreconciled",S4)))</formula>
    </cfRule>
  </conditionalFormatting>
  <conditionalFormatting sqref="S4:W12">
    <cfRule type="expression" dxfId="145" priority="15">
      <formula>OR(ISNUMBER(SEARCH("review",S4)),ISNUMBER(SEARCH("ready to lodge",S4)),ISNUMBER(SEARCH("out to sign",S4)))</formula>
    </cfRule>
  </conditionalFormatting>
  <conditionalFormatting sqref="S4:W12">
    <cfRule type="expression" dxfId="144" priority="16">
      <formula>OR(ISNUMBER(SEARCH("progress",S4)),LOWER(TRIM(S4))="wip")</formula>
    </cfRule>
  </conditionalFormatting>
  <conditionalFormatting sqref="S4:W12">
    <cfRule type="expression" dxfId="143" priority="17">
      <formula>OR(LOWER(TRIM(S4))="done",LOWER(TRIM(S4))="complete",LOWER(TRIM(S4))="completed",LOWER(TRIM(S4))="lodged")</formula>
    </cfRule>
  </conditionalFormatting>
  <conditionalFormatting sqref="S4:W12">
    <cfRule type="expression" dxfId="142" priority="18">
      <formula>OR(ISNUMBER(SEARCH("not started",S4)),ISNUMBER(SEARCH("unstarted",S4)),LOWER(TRIM(S4))="to do",LOWER(TRIM(S4))="not yet",LOWER(TRIM(S4))="n/a",LOWER(TRIM(S4))="na",LOWER(TRIM(S4))="n?a",LOWER(TRIM(S4))="not applicable")</formula>
    </cfRule>
  </conditionalFormatting>
  <conditionalFormatting sqref="X4:AB12">
    <cfRule type="expression" dxfId="141" priority="7">
      <formula>OR(ISNUMBER(SEARCH("blocked",X4)),ISNUMBER(SEARCH("overdue",X4)))</formula>
    </cfRule>
  </conditionalFormatting>
  <conditionalFormatting sqref="X4:AB12">
    <cfRule type="expression" dxfId="140" priority="8">
      <formula>OR(ISNUMBER(SEARCH("waiting",X4)),ISNUMBER(SEARCH("client prepare",X4)),LEFT(LOWER(TRIM(X4)),3)="co ",ISNUMBER(SEARCH("unreconciled",X4)))</formula>
    </cfRule>
  </conditionalFormatting>
  <conditionalFormatting sqref="X4:AB12">
    <cfRule type="expression" dxfId="139" priority="9">
      <formula>OR(ISNUMBER(SEARCH("review",X4)),ISNUMBER(SEARCH("ready to lodge",X4)),ISNUMBER(SEARCH("out to sign",X4)))</formula>
    </cfRule>
  </conditionalFormatting>
  <conditionalFormatting sqref="X4:AB12">
    <cfRule type="expression" dxfId="138" priority="10">
      <formula>OR(ISNUMBER(SEARCH("progress",X4)),LOWER(TRIM(X4))="wip")</formula>
    </cfRule>
  </conditionalFormatting>
  <conditionalFormatting sqref="X4:AB12">
    <cfRule type="expression" dxfId="137" priority="11">
      <formula>OR(LOWER(TRIM(X4))="done",LOWER(TRIM(X4))="complete",LOWER(TRIM(X4))="completed",LOWER(TRIM(X4))="lodged")</formula>
    </cfRule>
  </conditionalFormatting>
  <conditionalFormatting sqref="X4:AB12">
    <cfRule type="expression" dxfId="136" priority="12">
      <formula>OR(ISNUMBER(SEARCH("not started",X4)),ISNUMBER(SEARCH("unstarted",X4)),LOWER(TRIM(X4))="to do",LOWER(TRIM(X4))="not yet",LOWER(TRIM(X4))="n/a",LOWER(TRIM(X4))="na",LOWER(TRIM(X4))="n?a",LOWER(TRIM(X4))="not applicable")</formula>
    </cfRule>
  </conditionalFormatting>
  <conditionalFormatting sqref="AC4:AG12">
    <cfRule type="expression" dxfId="135" priority="1">
      <formula>OR(ISNUMBER(SEARCH("blocked",AC4)),ISNUMBER(SEARCH("overdue",AC4)))</formula>
    </cfRule>
  </conditionalFormatting>
  <conditionalFormatting sqref="AC4:AG12">
    <cfRule type="expression" dxfId="134" priority="2">
      <formula>OR(ISNUMBER(SEARCH("waiting",AC4)),ISNUMBER(SEARCH("client prepare",AC4)),LEFT(LOWER(TRIM(AC4)),3)="co ",ISNUMBER(SEARCH("unreconciled",AC4)))</formula>
    </cfRule>
  </conditionalFormatting>
  <conditionalFormatting sqref="AC4:AG12">
    <cfRule type="expression" dxfId="133" priority="3">
      <formula>OR(ISNUMBER(SEARCH("review",AC4)),ISNUMBER(SEARCH("ready to lodge",AC4)),ISNUMBER(SEARCH("out to sign",AC4)))</formula>
    </cfRule>
  </conditionalFormatting>
  <conditionalFormatting sqref="AC4:AG12">
    <cfRule type="expression" dxfId="132" priority="4">
      <formula>OR(ISNUMBER(SEARCH("progress",AC4)),LOWER(TRIM(AC4))="wip")</formula>
    </cfRule>
  </conditionalFormatting>
  <conditionalFormatting sqref="AC4:AG12">
    <cfRule type="expression" dxfId="131" priority="5">
      <formula>OR(LOWER(TRIM(AC4))="done",LOWER(TRIM(AC4))="complete",LOWER(TRIM(AC4))="completed",LOWER(TRIM(AC4))="lodged")</formula>
    </cfRule>
  </conditionalFormatting>
  <conditionalFormatting sqref="AC4:AG12">
    <cfRule type="expression" dxfId="130" priority="6">
      <formula>OR(ISNUMBER(SEARCH("not started",AC4)),ISNUMBER(SEARCH("unstarted",AC4)),LOWER(TRIM(AC4))="to do",LOWER(TRIM(AC4))="not yet",LOWER(TRIM(AC4))="n/a",LOWER(TRIM(AC4))="na",LOWER(TRIM(AC4))="n?a",LOWER(TRIM(AC4))="not applicable")</formula>
    </cfRule>
  </conditionalFormatting>
  <hyperlinks>
    <hyperlink ref="A1" location="'📋 Dashboard'!A1" display="← Dashboard" xr:uid="{00000000-0004-0000-0900-000000000000}"/>
  </hyperlinks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30"/>
  <sheetViews>
    <sheetView showGridLines="0" workbookViewId="0">
      <pane xSplit="1" ySplit="3" topLeftCell="B20" activePane="bottomRight" state="frozen"/>
      <selection pane="bottomRight" activeCell="D30" sqref="D30"/>
      <selection pane="bottomLeft" activeCell="A4" sqref="A4"/>
      <selection pane="topRight" activeCell="B1" sqref="B1"/>
    </sheetView>
  </sheetViews>
  <sheetFormatPr defaultColWidth="14.42578125" defaultRowHeight="15" customHeight="1"/>
  <cols>
    <col min="1" max="1" width="36.140625" customWidth="1"/>
    <col min="2" max="2" width="31.140625" customWidth="1"/>
    <col min="3" max="3" width="18.85546875" style="37" customWidth="1"/>
    <col min="4" max="4" width="17.5703125" style="49" customWidth="1"/>
    <col min="5" max="7" width="16.7109375" customWidth="1"/>
    <col min="8" max="8" width="14.42578125" customWidth="1"/>
    <col min="9" max="9" width="16.7109375" customWidth="1"/>
    <col min="10" max="10" width="15.5703125" customWidth="1"/>
    <col min="11" max="11" width="12.42578125" customWidth="1"/>
    <col min="12" max="12" width="19" customWidth="1"/>
    <col min="13" max="13" width="38.140625" customWidth="1"/>
    <col min="15" max="15" width="16.140625" customWidth="1"/>
    <col min="16" max="18" width="19.7109375" customWidth="1"/>
    <col min="19" max="19" width="17.85546875" customWidth="1"/>
    <col min="20" max="29" width="16.28515625" customWidth="1"/>
    <col min="30" max="30" width="26" customWidth="1"/>
    <col min="31" max="31" width="16.28515625" customWidth="1"/>
    <col min="32" max="36" width="8.7109375" customWidth="1"/>
  </cols>
  <sheetData>
    <row r="1" spans="1:31" ht="30" customHeight="1">
      <c r="A1" s="158" t="s">
        <v>186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</row>
    <row r="2" spans="1:31" ht="36" customHeight="1">
      <c r="A2" s="159" t="s">
        <v>187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</row>
    <row r="3" spans="1:31" ht="36" customHeight="1">
      <c r="A3" s="53" t="s">
        <v>50</v>
      </c>
      <c r="B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</row>
    <row r="4" spans="1:31">
      <c r="A4" s="41" t="s">
        <v>69</v>
      </c>
      <c r="B4" s="56">
        <f>DATE(2026,7,1)</f>
        <v>46204</v>
      </c>
      <c r="C4" s="57" t="s">
        <v>188</v>
      </c>
      <c r="D4" s="50">
        <f>DATE(2026,8,21)</f>
        <v>46255</v>
      </c>
      <c r="E4" s="41" t="s">
        <v>189</v>
      </c>
      <c r="F4" s="41"/>
      <c r="G4" s="41" t="s">
        <v>190</v>
      </c>
      <c r="H4" s="41"/>
      <c r="I4" s="41" t="s">
        <v>191</v>
      </c>
      <c r="J4" s="41"/>
      <c r="K4" s="41" t="s">
        <v>192</v>
      </c>
      <c r="L4" s="41"/>
      <c r="M4" s="41" t="s">
        <v>193</v>
      </c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</row>
    <row r="5" spans="1:31" ht="21">
      <c r="A5" s="140"/>
      <c r="B5" s="140"/>
      <c r="E5" s="48">
        <f>COUNTA(Metka_August_BAS[Entity])</f>
        <v>20</v>
      </c>
      <c r="F5" s="48"/>
      <c r="G5" s="48">
        <f>COUNTIF(Metka_August_BAS[Overall status],"Done")</f>
        <v>0</v>
      </c>
      <c r="H5" s="48"/>
      <c r="I5" s="48">
        <f>COUNTIF(Metka_August_BAS[Overall status],"For review")</f>
        <v>0</v>
      </c>
      <c r="J5" s="48"/>
      <c r="K5" s="48">
        <f>COUNTIF(Metka_August_BAS[Overall status],"Waiting on client")</f>
        <v>0</v>
      </c>
      <c r="L5" s="48"/>
      <c r="M5" s="48">
        <f ca="1">COUNTIFS(Metka_August_BAS[Days to due],"&gt;=0",Metka_August_BAS[Days to due],"&lt;=7",Metka_August_BAS[Overall status],"&lt;&gt;Done")</f>
        <v>0</v>
      </c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</row>
    <row r="6" spans="1:31" hidden="1">
      <c r="A6" s="140"/>
      <c r="B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</row>
    <row r="7" spans="1:31" ht="22.5" customHeight="1">
      <c r="A7" s="160" t="s">
        <v>194</v>
      </c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</row>
    <row r="8" spans="1:31">
      <c r="A8" s="157" t="s">
        <v>195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</row>
    <row r="9" spans="1:31" ht="10.5" customHeight="1">
      <c r="A9" s="140"/>
      <c r="B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</row>
    <row r="10" spans="1:31">
      <c r="A10" s="140" t="s">
        <v>196</v>
      </c>
      <c r="B10" s="140" t="s">
        <v>197</v>
      </c>
      <c r="C10" s="37" t="s">
        <v>67</v>
      </c>
      <c r="D10" s="49" t="s">
        <v>62</v>
      </c>
      <c r="E10" s="140" t="s">
        <v>198</v>
      </c>
      <c r="F10" s="140" t="s">
        <v>199</v>
      </c>
      <c r="G10" s="140" t="s">
        <v>200</v>
      </c>
      <c r="H10" s="140" t="s">
        <v>68</v>
      </c>
      <c r="I10" s="140" t="s">
        <v>201</v>
      </c>
      <c r="J10" s="140" t="s">
        <v>71</v>
      </c>
      <c r="K10" s="140" t="s">
        <v>202</v>
      </c>
      <c r="L10" s="140" t="s">
        <v>203</v>
      </c>
      <c r="M10" s="140" t="s">
        <v>204</v>
      </c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</row>
    <row r="11" spans="1:31" ht="29.25" customHeight="1">
      <c r="A11" s="40" t="s">
        <v>205</v>
      </c>
      <c r="B11" s="140" t="s">
        <v>206</v>
      </c>
      <c r="C11" s="37" t="s">
        <v>82</v>
      </c>
      <c r="D11" s="51">
        <f>$D$4</f>
        <v>46255</v>
      </c>
      <c r="E11" s="140" t="s">
        <v>79</v>
      </c>
      <c r="F11" s="140" t="s">
        <v>79</v>
      </c>
      <c r="G11" s="140" t="s">
        <v>79</v>
      </c>
      <c r="H11" s="140" t="s">
        <v>112</v>
      </c>
      <c r="I11" s="140" t="s">
        <v>103</v>
      </c>
      <c r="J11" s="43"/>
      <c r="K11" s="38">
        <f ca="1">IF(OR(Metka_August_BAS[[#This Row],[Entity]]="",Metka_August_BAS[[#This Row],[Overall status]]="Done"),"",Metka_August_BAS[[#This Row],[Due date]]-TODAY())</f>
        <v>-14</v>
      </c>
      <c r="L11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11" s="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</row>
    <row r="12" spans="1:31" ht="29.25" customHeight="1">
      <c r="A12" s="40" t="s">
        <v>207</v>
      </c>
      <c r="B12" s="140" t="s">
        <v>206</v>
      </c>
      <c r="C12" s="37" t="s">
        <v>82</v>
      </c>
      <c r="D12" s="51">
        <f t="shared" ref="D12:D30" si="0">$D$4</f>
        <v>46255</v>
      </c>
      <c r="E12" s="140" t="s">
        <v>79</v>
      </c>
      <c r="F12" s="140" t="s">
        <v>79</v>
      </c>
      <c r="G12" s="140" t="s">
        <v>79</v>
      </c>
      <c r="H12" s="140" t="s">
        <v>112</v>
      </c>
      <c r="I12" s="140" t="s">
        <v>103</v>
      </c>
      <c r="J12" s="43"/>
      <c r="K12" s="38">
        <f ca="1">IF(OR(Metka_August_BAS[[#This Row],[Entity]]="",Metka_August_BAS[[#This Row],[Overall status]]="Done"),"",Metka_August_BAS[[#This Row],[Due date]]-TODAY())</f>
        <v>-14</v>
      </c>
      <c r="L12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12" s="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</row>
    <row r="13" spans="1:31" ht="29.25" customHeight="1">
      <c r="A13" s="40" t="s">
        <v>208</v>
      </c>
      <c r="B13" s="140" t="s">
        <v>206</v>
      </c>
      <c r="C13" s="37" t="s">
        <v>82</v>
      </c>
      <c r="D13" s="51">
        <f t="shared" si="0"/>
        <v>46255</v>
      </c>
      <c r="E13" s="140" t="s">
        <v>79</v>
      </c>
      <c r="F13" s="140" t="s">
        <v>79</v>
      </c>
      <c r="G13" s="140" t="s">
        <v>79</v>
      </c>
      <c r="H13" s="140" t="s">
        <v>112</v>
      </c>
      <c r="I13" s="140" t="s">
        <v>103</v>
      </c>
      <c r="J13" s="43"/>
      <c r="K13" s="38">
        <f ca="1">IF(OR(Metka_August_BAS[[#This Row],[Entity]]="",Metka_August_BAS[[#This Row],[Overall status]]="Done"),"",Metka_August_BAS[[#This Row],[Due date]]-TODAY())</f>
        <v>-14</v>
      </c>
      <c r="L13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13" s="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</row>
    <row r="14" spans="1:31" ht="29.25" customHeight="1">
      <c r="A14" s="40" t="s">
        <v>209</v>
      </c>
      <c r="B14" s="140" t="s">
        <v>206</v>
      </c>
      <c r="C14" s="37" t="s">
        <v>82</v>
      </c>
      <c r="D14" s="51">
        <f t="shared" si="0"/>
        <v>46255</v>
      </c>
      <c r="E14" s="140" t="s">
        <v>79</v>
      </c>
      <c r="F14" s="140" t="s">
        <v>79</v>
      </c>
      <c r="G14" s="140" t="s">
        <v>79</v>
      </c>
      <c r="H14" s="140" t="s">
        <v>112</v>
      </c>
      <c r="I14" s="140" t="s">
        <v>103</v>
      </c>
      <c r="J14" s="43"/>
      <c r="K14" s="38">
        <f ca="1">IF(OR(Metka_August_BAS[[#This Row],[Entity]]="",Metka_August_BAS[[#This Row],[Overall status]]="Done"),"",Metka_August_BAS[[#This Row],[Due date]]-TODAY())</f>
        <v>-14</v>
      </c>
      <c r="L14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14" s="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</row>
    <row r="15" spans="1:31" ht="29.25" customHeight="1">
      <c r="A15" s="40" t="s">
        <v>210</v>
      </c>
      <c r="B15" s="140" t="s">
        <v>206</v>
      </c>
      <c r="C15" s="37" t="s">
        <v>82</v>
      </c>
      <c r="D15" s="51">
        <f t="shared" si="0"/>
        <v>46255</v>
      </c>
      <c r="E15" s="140" t="s">
        <v>79</v>
      </c>
      <c r="F15" s="140" t="s">
        <v>79</v>
      </c>
      <c r="G15" s="140" t="s">
        <v>79</v>
      </c>
      <c r="H15" s="140" t="s">
        <v>112</v>
      </c>
      <c r="I15" s="140" t="s">
        <v>103</v>
      </c>
      <c r="J15" s="43"/>
      <c r="K15" s="38">
        <f ca="1">IF(OR(Metka_August_BAS[[#This Row],[Entity]]="",Metka_August_BAS[[#This Row],[Overall status]]="Done"),"",Metka_August_BAS[[#This Row],[Due date]]-TODAY())</f>
        <v>-14</v>
      </c>
      <c r="L15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15" s="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</row>
    <row r="16" spans="1:31" ht="29.25" customHeight="1">
      <c r="A16" s="40" t="s">
        <v>211</v>
      </c>
      <c r="B16" s="140" t="s">
        <v>212</v>
      </c>
      <c r="C16" s="37" t="s">
        <v>82</v>
      </c>
      <c r="D16" s="51">
        <f t="shared" si="0"/>
        <v>46255</v>
      </c>
      <c r="E16" s="140" t="s">
        <v>79</v>
      </c>
      <c r="F16" s="140" t="s">
        <v>79</v>
      </c>
      <c r="G16" s="140" t="s">
        <v>79</v>
      </c>
      <c r="H16" s="140" t="s">
        <v>112</v>
      </c>
      <c r="I16" s="140" t="s">
        <v>103</v>
      </c>
      <c r="J16" s="43"/>
      <c r="K16" s="38">
        <f ca="1">IF(OR(Metka_August_BAS[[#This Row],[Entity]]="",Metka_August_BAS[[#This Row],[Overall status]]="Done"),"",Metka_August_BAS[[#This Row],[Due date]]-TODAY())</f>
        <v>-14</v>
      </c>
      <c r="L16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16" s="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</row>
    <row r="17" spans="1:31" ht="29.25" customHeight="1">
      <c r="A17" s="40" t="s">
        <v>213</v>
      </c>
      <c r="B17" s="140" t="s">
        <v>214</v>
      </c>
      <c r="C17" s="37" t="s">
        <v>82</v>
      </c>
      <c r="D17" s="51">
        <f t="shared" si="0"/>
        <v>46255</v>
      </c>
      <c r="E17" s="140" t="s">
        <v>79</v>
      </c>
      <c r="F17" s="140" t="s">
        <v>79</v>
      </c>
      <c r="G17" s="140" t="s">
        <v>79</v>
      </c>
      <c r="H17" s="140" t="s">
        <v>112</v>
      </c>
      <c r="I17" s="140" t="s">
        <v>103</v>
      </c>
      <c r="J17" s="43"/>
      <c r="K17" s="38">
        <f ca="1">IF(OR(Metka_August_BAS[[#This Row],[Entity]]="",Metka_August_BAS[[#This Row],[Overall status]]="Done"),"",Metka_August_BAS[[#This Row],[Due date]]-TODAY())</f>
        <v>-14</v>
      </c>
      <c r="L17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17" s="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</row>
    <row r="18" spans="1:31" ht="29.25" customHeight="1">
      <c r="A18" s="40" t="s">
        <v>215</v>
      </c>
      <c r="B18" s="140" t="s">
        <v>216</v>
      </c>
      <c r="C18" s="37" t="s">
        <v>82</v>
      </c>
      <c r="D18" s="51">
        <f t="shared" si="0"/>
        <v>46255</v>
      </c>
      <c r="E18" s="140" t="s">
        <v>79</v>
      </c>
      <c r="F18" s="140" t="s">
        <v>79</v>
      </c>
      <c r="G18" s="140" t="s">
        <v>79</v>
      </c>
      <c r="H18" s="140" t="s">
        <v>112</v>
      </c>
      <c r="I18" s="140" t="s">
        <v>103</v>
      </c>
      <c r="J18" s="43"/>
      <c r="K18" s="38">
        <f ca="1">IF(OR(Metka_August_BAS[[#This Row],[Entity]]="",Metka_August_BAS[[#This Row],[Overall status]]="Done"),"",Metka_August_BAS[[#This Row],[Due date]]-TODAY())</f>
        <v>-14</v>
      </c>
      <c r="L18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18" s="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</row>
    <row r="19" spans="1:31" ht="29.25" customHeight="1">
      <c r="A19" s="40" t="s">
        <v>217</v>
      </c>
      <c r="B19" s="140" t="s">
        <v>214</v>
      </c>
      <c r="C19" s="37" t="s">
        <v>82</v>
      </c>
      <c r="D19" s="51">
        <f t="shared" si="0"/>
        <v>46255</v>
      </c>
      <c r="E19" s="140" t="s">
        <v>79</v>
      </c>
      <c r="F19" s="140" t="s">
        <v>79</v>
      </c>
      <c r="G19" s="140" t="s">
        <v>79</v>
      </c>
      <c r="H19" s="140" t="s">
        <v>112</v>
      </c>
      <c r="I19" s="140" t="s">
        <v>103</v>
      </c>
      <c r="J19" s="43"/>
      <c r="K19" s="38">
        <f ca="1">IF(OR(Metka_August_BAS[[#This Row],[Entity]]="",Metka_August_BAS[[#This Row],[Overall status]]="Done"),"",Metka_August_BAS[[#This Row],[Due date]]-TODAY())</f>
        <v>-14</v>
      </c>
      <c r="L19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19" s="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</row>
    <row r="20" spans="1:31" ht="29.25" customHeight="1">
      <c r="A20" s="40" t="s">
        <v>218</v>
      </c>
      <c r="B20" s="140" t="s">
        <v>214</v>
      </c>
      <c r="C20" s="37" t="s">
        <v>82</v>
      </c>
      <c r="D20" s="51">
        <f t="shared" si="0"/>
        <v>46255</v>
      </c>
      <c r="E20" s="140" t="s">
        <v>79</v>
      </c>
      <c r="F20" s="140" t="s">
        <v>79</v>
      </c>
      <c r="G20" s="140" t="s">
        <v>79</v>
      </c>
      <c r="H20" s="140" t="s">
        <v>112</v>
      </c>
      <c r="I20" s="140" t="s">
        <v>103</v>
      </c>
      <c r="J20" s="43"/>
      <c r="K20" s="38">
        <f ca="1">IF(OR(Metka_August_BAS[[#This Row],[Entity]]="",Metka_August_BAS[[#This Row],[Overall status]]="Done"),"",Metka_August_BAS[[#This Row],[Due date]]-TODAY())</f>
        <v>-14</v>
      </c>
      <c r="L20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20" s="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</row>
    <row r="21" spans="1:31" ht="29.25" customHeight="1">
      <c r="A21" s="40" t="s">
        <v>219</v>
      </c>
      <c r="B21" s="140" t="s">
        <v>214</v>
      </c>
      <c r="C21" s="37" t="s">
        <v>82</v>
      </c>
      <c r="D21" s="51">
        <f t="shared" si="0"/>
        <v>46255</v>
      </c>
      <c r="E21" s="140" t="s">
        <v>79</v>
      </c>
      <c r="F21" s="140" t="s">
        <v>79</v>
      </c>
      <c r="G21" s="140" t="s">
        <v>79</v>
      </c>
      <c r="H21" s="140" t="s">
        <v>112</v>
      </c>
      <c r="I21" s="140" t="s">
        <v>103</v>
      </c>
      <c r="J21" s="43"/>
      <c r="K21" s="38">
        <f ca="1">IF(OR(Metka_August_BAS[[#This Row],[Entity]]="",Metka_August_BAS[[#This Row],[Overall status]]="Done"),"",Metka_August_BAS[[#This Row],[Due date]]-TODAY())</f>
        <v>-14</v>
      </c>
      <c r="L21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21" s="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</row>
    <row r="22" spans="1:31" ht="29.25" customHeight="1">
      <c r="A22" s="40" t="s">
        <v>220</v>
      </c>
      <c r="B22" s="140" t="s">
        <v>214</v>
      </c>
      <c r="C22" s="37" t="s">
        <v>221</v>
      </c>
      <c r="D22" s="51">
        <f t="shared" si="0"/>
        <v>46255</v>
      </c>
      <c r="E22" s="140" t="s">
        <v>79</v>
      </c>
      <c r="F22" s="140" t="s">
        <v>79</v>
      </c>
      <c r="G22" s="140" t="s">
        <v>79</v>
      </c>
      <c r="H22" s="140" t="s">
        <v>112</v>
      </c>
      <c r="I22" s="140" t="s">
        <v>103</v>
      </c>
      <c r="J22" s="43"/>
      <c r="K22" s="38">
        <f ca="1">IF(OR(Metka_August_BAS[[#This Row],[Entity]]="",Metka_August_BAS[[#This Row],[Overall status]]="Done"),"",Metka_August_BAS[[#This Row],[Due date]]-TODAY())</f>
        <v>-14</v>
      </c>
      <c r="L22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22" s="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</row>
    <row r="23" spans="1:31" ht="29.25" customHeight="1">
      <c r="A23" s="40" t="s">
        <v>222</v>
      </c>
      <c r="B23" s="140" t="s">
        <v>214</v>
      </c>
      <c r="C23" s="37" t="s">
        <v>221</v>
      </c>
      <c r="D23" s="51">
        <f t="shared" si="0"/>
        <v>46255</v>
      </c>
      <c r="E23" s="140" t="s">
        <v>79</v>
      </c>
      <c r="F23" s="140" t="s">
        <v>79</v>
      </c>
      <c r="G23" s="140" t="s">
        <v>79</v>
      </c>
      <c r="H23" s="140" t="s">
        <v>112</v>
      </c>
      <c r="I23" s="140" t="s">
        <v>103</v>
      </c>
      <c r="J23" s="43"/>
      <c r="K23" s="38">
        <f ca="1">IF(OR(Metka_August_BAS[[#This Row],[Entity]]="",Metka_August_BAS[[#This Row],[Overall status]]="Done"),"",Metka_August_BAS[[#This Row],[Due date]]-TODAY())</f>
        <v>-14</v>
      </c>
      <c r="L23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23" s="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</row>
    <row r="24" spans="1:31" ht="29.25" customHeight="1">
      <c r="A24" s="40" t="s">
        <v>223</v>
      </c>
      <c r="B24" s="140" t="s">
        <v>224</v>
      </c>
      <c r="C24" s="37" t="s">
        <v>221</v>
      </c>
      <c r="D24" s="51">
        <f t="shared" si="0"/>
        <v>46255</v>
      </c>
      <c r="E24" s="140" t="s">
        <v>79</v>
      </c>
      <c r="F24" s="140" t="s">
        <v>79</v>
      </c>
      <c r="G24" s="140" t="s">
        <v>79</v>
      </c>
      <c r="H24" s="140" t="s">
        <v>112</v>
      </c>
      <c r="I24" s="140" t="s">
        <v>103</v>
      </c>
      <c r="J24" s="43"/>
      <c r="K24" s="38">
        <f ca="1">IF(OR(Metka_August_BAS[[#This Row],[Entity]]="",Metka_August_BAS[[#This Row],[Overall status]]="Done"),"",Metka_August_BAS[[#This Row],[Due date]]-TODAY())</f>
        <v>-14</v>
      </c>
      <c r="L24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24" s="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</row>
    <row r="25" spans="1:31" ht="29.25" customHeight="1">
      <c r="A25" s="40" t="s">
        <v>225</v>
      </c>
      <c r="B25" s="140" t="s">
        <v>224</v>
      </c>
      <c r="C25" s="37" t="s">
        <v>221</v>
      </c>
      <c r="D25" s="51">
        <f t="shared" si="0"/>
        <v>46255</v>
      </c>
      <c r="E25" s="140" t="s">
        <v>79</v>
      </c>
      <c r="F25" s="140" t="s">
        <v>79</v>
      </c>
      <c r="G25" s="140" t="s">
        <v>79</v>
      </c>
      <c r="H25" s="140" t="s">
        <v>112</v>
      </c>
      <c r="I25" s="140" t="s">
        <v>103</v>
      </c>
      <c r="J25" s="43"/>
      <c r="K25" s="38">
        <f ca="1">IF(OR(Metka_August_BAS[[#This Row],[Entity]]="",Metka_August_BAS[[#This Row],[Overall status]]="Done"),"",Metka_August_BAS[[#This Row],[Due date]]-TODAY())</f>
        <v>-14</v>
      </c>
      <c r="L25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25" s="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</row>
    <row r="26" spans="1:31" ht="29.25" customHeight="1">
      <c r="A26" s="40" t="s">
        <v>226</v>
      </c>
      <c r="B26" s="140" t="s">
        <v>214</v>
      </c>
      <c r="C26" s="37" t="s">
        <v>221</v>
      </c>
      <c r="D26" s="51">
        <f t="shared" si="0"/>
        <v>46255</v>
      </c>
      <c r="E26" s="140" t="s">
        <v>79</v>
      </c>
      <c r="F26" s="140" t="s">
        <v>79</v>
      </c>
      <c r="G26" s="140" t="s">
        <v>79</v>
      </c>
      <c r="H26" s="140" t="s">
        <v>112</v>
      </c>
      <c r="I26" s="140" t="s">
        <v>103</v>
      </c>
      <c r="J26" s="43"/>
      <c r="K26" s="38">
        <f ca="1">IF(OR(Metka_August_BAS[[#This Row],[Entity]]="",Metka_August_BAS[[#This Row],[Overall status]]="Done"),"",Metka_August_BAS[[#This Row],[Due date]]-TODAY())</f>
        <v>-14</v>
      </c>
      <c r="L26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26" s="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</row>
    <row r="27" spans="1:31" ht="29.25" customHeight="1">
      <c r="A27" s="40" t="s">
        <v>227</v>
      </c>
      <c r="B27" s="140" t="s">
        <v>214</v>
      </c>
      <c r="C27" s="37" t="s">
        <v>221</v>
      </c>
      <c r="D27" s="51">
        <f t="shared" si="0"/>
        <v>46255</v>
      </c>
      <c r="E27" s="140" t="s">
        <v>79</v>
      </c>
      <c r="F27" s="140" t="s">
        <v>79</v>
      </c>
      <c r="G27" s="140" t="s">
        <v>79</v>
      </c>
      <c r="H27" s="140" t="s">
        <v>112</v>
      </c>
      <c r="I27" s="140" t="s">
        <v>103</v>
      </c>
      <c r="J27" s="43"/>
      <c r="K27" s="38">
        <f ca="1">IF(OR(Metka_August_BAS[[#This Row],[Entity]]="",Metka_August_BAS[[#This Row],[Overall status]]="Done"),"",Metka_August_BAS[[#This Row],[Due date]]-TODAY())</f>
        <v>-14</v>
      </c>
      <c r="L27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27" s="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</row>
    <row r="28" spans="1:31" ht="29.25" customHeight="1">
      <c r="A28" s="40" t="s">
        <v>228</v>
      </c>
      <c r="B28" s="140" t="s">
        <v>214</v>
      </c>
      <c r="C28" s="37" t="s">
        <v>221</v>
      </c>
      <c r="D28" s="51">
        <f t="shared" si="0"/>
        <v>46255</v>
      </c>
      <c r="E28" s="140" t="s">
        <v>79</v>
      </c>
      <c r="F28" s="140" t="s">
        <v>79</v>
      </c>
      <c r="G28" s="140" t="s">
        <v>79</v>
      </c>
      <c r="H28" s="140" t="s">
        <v>112</v>
      </c>
      <c r="I28" s="140" t="s">
        <v>103</v>
      </c>
      <c r="J28" s="43"/>
      <c r="K28" s="38">
        <f ca="1">IF(OR(Metka_August_BAS[[#This Row],[Entity]]="",Metka_August_BAS[[#This Row],[Overall status]]="Done"),"",Metka_August_BAS[[#This Row],[Due date]]-TODAY())</f>
        <v>-14</v>
      </c>
      <c r="L28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28" s="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</row>
    <row r="29" spans="1:31" ht="29.25" customHeight="1">
      <c r="A29" s="40" t="s">
        <v>229</v>
      </c>
      <c r="B29" s="140" t="s">
        <v>214</v>
      </c>
      <c r="C29" s="37" t="s">
        <v>221</v>
      </c>
      <c r="D29" s="51">
        <f t="shared" si="0"/>
        <v>46255</v>
      </c>
      <c r="E29" s="140" t="s">
        <v>79</v>
      </c>
      <c r="F29" s="140" t="s">
        <v>79</v>
      </c>
      <c r="G29" s="140" t="s">
        <v>79</v>
      </c>
      <c r="H29" s="140" t="s">
        <v>112</v>
      </c>
      <c r="I29" s="140" t="s">
        <v>103</v>
      </c>
      <c r="J29" s="43"/>
      <c r="K29" s="38">
        <f ca="1">IF(OR(Metka_August_BAS[[#This Row],[Entity]]="",Metka_August_BAS[[#This Row],[Overall status]]="Done"),"",Metka_August_BAS[[#This Row],[Due date]]-TODAY())</f>
        <v>-14</v>
      </c>
      <c r="L29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29" s="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</row>
    <row r="30" spans="1:31" ht="29.25" customHeight="1">
      <c r="A30" s="40" t="s">
        <v>230</v>
      </c>
      <c r="B30" s="140" t="s">
        <v>224</v>
      </c>
      <c r="C30" s="37" t="s">
        <v>221</v>
      </c>
      <c r="D30" s="51">
        <f t="shared" si="0"/>
        <v>46255</v>
      </c>
      <c r="E30" s="140" t="s">
        <v>79</v>
      </c>
      <c r="F30" s="140" t="s">
        <v>79</v>
      </c>
      <c r="G30" s="140" t="s">
        <v>79</v>
      </c>
      <c r="H30" s="140" t="s">
        <v>112</v>
      </c>
      <c r="I30" s="140" t="s">
        <v>103</v>
      </c>
      <c r="J30" s="43"/>
      <c r="K30" s="38">
        <f ca="1">IF(OR(Metka_August_BAS[[#This Row],[Entity]]="",Metka_August_BAS[[#This Row],[Overall status]]="Done"),"",Metka_August_BAS[[#This Row],[Due date]]-TODAY())</f>
        <v>-14</v>
      </c>
      <c r="L30" s="140" t="str">
        <f>IF(Metka_August_BAS[[#This Row],[Lodgement]]="Done","Done",IF(OR(Metka_August_BAS[[#This Row],[Preparation]]="Waiting on client",Metka_August_BAS[[#This Row],[ATO statement]]="Waiting on client",Metka_August_BAS[[#This Row],[Signing copy]]="Waiting on client"),"Waiting on client",IF(OR(Metka_August_BAS[[#This Row],[Preparation]]="For review",Metka_August_BAS[[#This Row],[ATO statement]]="For review",Metka_August_BAS[[#This Row],[Signing copy]]="For review"),"For review",IF(AND(Metka_August_BAS[[#This Row],[Preparation]]="Done",OR(Metka_August_BAS[[#This Row],[ATO statement]]="Done",Metka_August_BAS[[#This Row],[ATO statement]]="Not applicable"),OR(Metka_August_BAS[[#This Row],[Signing copy]]="Done",Metka_August_BAS[[#This Row],[Signing copy]]="Not applicable")),"Ready to lodge",IF(COUNTIF(Metka_August_BAS[[#This Row],[Preparation]]:Metka_August_BAS[[#This Row],[Signing copy]],"In progress")&gt;0,"In progress","Not started")))))</f>
        <v>Ready to lodge</v>
      </c>
      <c r="M30" s="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</row>
  </sheetData>
  <mergeCells count="4">
    <mergeCell ref="A8:M8"/>
    <mergeCell ref="A1:M1"/>
    <mergeCell ref="A2:M2"/>
    <mergeCell ref="A7:M7"/>
  </mergeCells>
  <conditionalFormatting sqref="K11:K30">
    <cfRule type="expression" dxfId="97" priority="4">
      <formula>AND($K11&lt;0,$L11&lt;&gt;"Done")</formula>
    </cfRule>
  </conditionalFormatting>
  <conditionalFormatting sqref="E11:G30">
    <cfRule type="expression" dxfId="96" priority="19">
      <formula>OR(ISNUMBER(SEARCH("blocked",E11)),ISNUMBER(SEARCH("overdue",E11)))</formula>
    </cfRule>
  </conditionalFormatting>
  <conditionalFormatting sqref="E11:G30">
    <cfRule type="expression" dxfId="95" priority="20">
      <formula>OR(ISNUMBER(SEARCH("waiting",E11)),ISNUMBER(SEARCH("client prepare",E11)),LEFT(LOWER(TRIM(E11)),3)="co ",ISNUMBER(SEARCH("unreconciled",E11)))</formula>
    </cfRule>
  </conditionalFormatting>
  <conditionalFormatting sqref="E11:G30">
    <cfRule type="expression" dxfId="94" priority="21">
      <formula>OR(ISNUMBER(SEARCH("review",E11)),ISNUMBER(SEARCH("ready to lodge",E11)),ISNUMBER(SEARCH("out to sign",E11)))</formula>
    </cfRule>
  </conditionalFormatting>
  <conditionalFormatting sqref="E11:G30">
    <cfRule type="expression" dxfId="93" priority="22">
      <formula>OR(ISNUMBER(SEARCH("progress",E11)),LOWER(TRIM(E11))="wip")</formula>
    </cfRule>
  </conditionalFormatting>
  <conditionalFormatting sqref="E11:G30">
    <cfRule type="expression" dxfId="92" priority="23">
      <formula>OR(LOWER(TRIM(E11))="done",LOWER(TRIM(E11))="complete",LOWER(TRIM(E11))="completed",LOWER(TRIM(E11))="lodged")</formula>
    </cfRule>
  </conditionalFormatting>
  <conditionalFormatting sqref="E11:G30">
    <cfRule type="expression" dxfId="91" priority="24">
      <formula>OR(ISNUMBER(SEARCH("not started",E11)),ISNUMBER(SEARCH("unstarted",E11)),LOWER(TRIM(E11))="to do",LOWER(TRIM(E11))="not yet",LOWER(TRIM(E11))="n/a",LOWER(TRIM(E11))="na",LOWER(TRIM(E11))="n?a",LOWER(TRIM(E11))="not applicable")</formula>
    </cfRule>
  </conditionalFormatting>
  <conditionalFormatting sqref="I11:I30">
    <cfRule type="expression" dxfId="90" priority="25">
      <formula>OR(ISNUMBER(SEARCH("blocked",I11)),ISNUMBER(SEARCH("overdue",I11)))</formula>
    </cfRule>
  </conditionalFormatting>
  <conditionalFormatting sqref="I11:I30">
    <cfRule type="expression" dxfId="89" priority="26">
      <formula>OR(ISNUMBER(SEARCH("waiting",I11)),ISNUMBER(SEARCH("client prepare",I11)),LEFT(LOWER(TRIM(I11)),3)="co ",ISNUMBER(SEARCH("unreconciled",I11)))</formula>
    </cfRule>
  </conditionalFormatting>
  <conditionalFormatting sqref="I11:I30">
    <cfRule type="expression" dxfId="88" priority="27">
      <formula>OR(ISNUMBER(SEARCH("review",I11)),ISNUMBER(SEARCH("ready to lodge",I11)),ISNUMBER(SEARCH("out to sign",I11)))</formula>
    </cfRule>
  </conditionalFormatting>
  <conditionalFormatting sqref="I11:I30">
    <cfRule type="expression" dxfId="87" priority="28">
      <formula>OR(ISNUMBER(SEARCH("progress",I11)),LOWER(TRIM(I11))="wip")</formula>
    </cfRule>
  </conditionalFormatting>
  <conditionalFormatting sqref="I11:I30">
    <cfRule type="expression" dxfId="86" priority="29">
      <formula>OR(LOWER(TRIM(I11))="done",LOWER(TRIM(I11))="complete",LOWER(TRIM(I11))="completed",LOWER(TRIM(I11))="lodged")</formula>
    </cfRule>
  </conditionalFormatting>
  <conditionalFormatting sqref="I11:I30">
    <cfRule type="expression" dxfId="85" priority="30">
      <formula>OR(ISNUMBER(SEARCH("not started",I11)),ISNUMBER(SEARCH("unstarted",I11)),LOWER(TRIM(I11))="to do",LOWER(TRIM(I11))="not yet",LOWER(TRIM(I11))="n/a",LOWER(TRIM(I11))="na",LOWER(TRIM(I11))="n?a",LOWER(TRIM(I11))="not applicable")</formula>
    </cfRule>
  </conditionalFormatting>
  <conditionalFormatting sqref="L11:L30">
    <cfRule type="expression" dxfId="84" priority="31">
      <formula>OR(ISNUMBER(SEARCH("blocked",L11)),ISNUMBER(SEARCH("overdue",L11)))</formula>
    </cfRule>
  </conditionalFormatting>
  <conditionalFormatting sqref="L11:L30">
    <cfRule type="expression" dxfId="83" priority="32">
      <formula>OR(ISNUMBER(SEARCH("waiting",L11)),ISNUMBER(SEARCH("client prepare",L11)),LEFT(LOWER(TRIM(L11)),3)="co ",ISNUMBER(SEARCH("unreconciled",L11)))</formula>
    </cfRule>
  </conditionalFormatting>
  <conditionalFormatting sqref="L11:L30">
    <cfRule type="expression" dxfId="82" priority="33">
      <formula>OR(ISNUMBER(SEARCH("review",L11)),ISNUMBER(SEARCH("ready to lodge",L11)),ISNUMBER(SEARCH("out to sign",L11)))</formula>
    </cfRule>
  </conditionalFormatting>
  <conditionalFormatting sqref="L11:L30">
    <cfRule type="expression" dxfId="81" priority="34">
      <formula>OR(ISNUMBER(SEARCH("progress",L11)),LOWER(TRIM(L11))="wip")</formula>
    </cfRule>
  </conditionalFormatting>
  <conditionalFormatting sqref="L11:L30">
    <cfRule type="expression" dxfId="80" priority="35">
      <formula>OR(LOWER(TRIM(L11))="done",LOWER(TRIM(L11))="complete",LOWER(TRIM(L11))="completed",LOWER(TRIM(L11))="lodged")</formula>
    </cfRule>
  </conditionalFormatting>
  <conditionalFormatting sqref="L11:L30">
    <cfRule type="expression" dxfId="79" priority="36">
      <formula>OR(ISNUMBER(SEARCH("not started",L11)),ISNUMBER(SEARCH("unstarted",L11)),LOWER(TRIM(L11))="to do",LOWER(TRIM(L11))="not yet",LOWER(TRIM(L11))="n/a",LOWER(TRIM(L11))="na",LOWER(TRIM(L11))="n?a",LOWER(TRIM(L11))="not applicable")</formula>
    </cfRule>
  </conditionalFormatting>
  <dataValidations count="3">
    <dataValidation type="list" allowBlank="1" showInputMessage="1" showErrorMessage="1" sqref="I11:I30 E11:G30" xr:uid="{F775208B-2A6C-4084-A2BD-0EDC1B34AE78}">
      <formula1>"Not started,In progress,Waiting on client,For review,Ready to lodge,Done,Not applicable"</formula1>
    </dataValidation>
    <dataValidation type="list" allowBlank="1" showInputMessage="1" showErrorMessage="1" sqref="C11:C30" xr:uid="{C3AF5016-2DAA-48DD-ABC1-F706B8527151}">
      <formula1>"Jan,Jovelyn,Merlin,Clarice,Unassigned"</formula1>
    </dataValidation>
    <dataValidation type="list" allowBlank="1" showInputMessage="1" showErrorMessage="1" sqref="H11:H30" xr:uid="{74CDC20C-EBFB-4C83-AEB0-BBBD12A5EA9B}">
      <formula1>"Clarice,Jan,Merlin,JCh,CE,Unassigned"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5"/>
  <sheetViews>
    <sheetView showGridLines="0" workbookViewId="0">
      <pane xSplit="3" ySplit="2" topLeftCell="Q3" activePane="bottomRight" state="frozen"/>
      <selection pane="bottomRight" activeCell="K13" sqref="K13:K14"/>
      <selection pane="bottomLeft" activeCell="A3" sqref="A3"/>
      <selection pane="topRight" activeCell="D1" sqref="D1"/>
    </sheetView>
  </sheetViews>
  <sheetFormatPr defaultColWidth="14.42578125" defaultRowHeight="15" customHeight="1"/>
  <cols>
    <col min="1" max="1" width="13" customWidth="1"/>
    <col min="2" max="2" width="32.7109375" customWidth="1"/>
    <col min="3" max="3" width="27.42578125" customWidth="1"/>
    <col min="4" max="4" width="10.5703125" customWidth="1"/>
    <col min="5" max="5" width="11" customWidth="1"/>
    <col min="6" max="6" width="13" customWidth="1"/>
    <col min="7" max="7" width="11" hidden="1" customWidth="1"/>
    <col min="8" max="8" width="33.28515625" style="117" customWidth="1"/>
    <col min="9" max="9" width="18.42578125" style="40" customWidth="1"/>
    <col min="10" max="16" width="18.42578125" customWidth="1"/>
    <col min="17" max="17" width="31.42578125" customWidth="1"/>
    <col min="18" max="20" width="18.85546875" customWidth="1"/>
    <col min="21" max="21" width="24.85546875" customWidth="1"/>
    <col min="22" max="22" width="17.7109375" customWidth="1"/>
    <col min="23" max="23" width="21.85546875" customWidth="1"/>
    <col min="24" max="24" width="16.42578125" customWidth="1"/>
    <col min="25" max="25" width="61.42578125" customWidth="1"/>
    <col min="26" max="26" width="17.140625" customWidth="1"/>
    <col min="27" max="27" width="16.7109375" customWidth="1"/>
    <col min="28" max="28" width="19.85546875" customWidth="1"/>
    <col min="29" max="29" width="23.7109375" customWidth="1"/>
    <col min="30" max="30" width="21.140625" customWidth="1"/>
    <col min="31" max="31" width="22.85546875" customWidth="1"/>
    <col min="32" max="32" width="22.5703125" customWidth="1"/>
  </cols>
  <sheetData>
    <row r="1" spans="1:32" ht="30" customHeight="1">
      <c r="A1" s="158" t="s">
        <v>231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</row>
    <row r="2" spans="1:32" ht="26.25" customHeight="1">
      <c r="A2" s="141" t="s">
        <v>232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</row>
    <row r="3" spans="1:32" ht="26.25" customHeight="1">
      <c r="A3" s="53" t="s">
        <v>50</v>
      </c>
      <c r="B3" s="140"/>
      <c r="C3" s="140"/>
      <c r="D3" s="140"/>
      <c r="E3" s="140"/>
      <c r="F3" s="140"/>
      <c r="G3" s="140"/>
      <c r="H3" s="119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</row>
    <row r="4" spans="1:32" ht="20.25" customHeight="1">
      <c r="A4" s="41" t="s">
        <v>233</v>
      </c>
      <c r="B4" s="46">
        <f>DATE(2026,7,1)</f>
        <v>46204</v>
      </c>
      <c r="C4" s="41" t="s">
        <v>234</v>
      </c>
      <c r="D4" s="47">
        <f>DATE(YEAR(EDATE(B4,1)),MONTH(EDATE(B4,1)),21)</f>
        <v>46255</v>
      </c>
      <c r="E4" s="41" t="s">
        <v>235</v>
      </c>
      <c r="F4" s="41"/>
      <c r="G4" s="41" t="s">
        <v>236</v>
      </c>
      <c r="H4" s="119"/>
      <c r="I4" s="93"/>
      <c r="J4" s="41" t="s">
        <v>79</v>
      </c>
      <c r="K4" s="41"/>
      <c r="L4" s="41" t="s">
        <v>191</v>
      </c>
      <c r="M4" s="41"/>
      <c r="N4" s="41" t="s">
        <v>237</v>
      </c>
      <c r="O4" s="41"/>
      <c r="P4" s="41" t="s">
        <v>103</v>
      </c>
      <c r="Q4" s="41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</row>
    <row r="5" spans="1:32" ht="22.5" customHeight="1">
      <c r="A5" s="140"/>
      <c r="B5" s="140"/>
      <c r="C5" s="140"/>
      <c r="D5" s="140"/>
      <c r="E5" s="48">
        <f>COUNTA(BAS_IAS_MultiMonth[Client])</f>
        <v>27</v>
      </c>
      <c r="F5" s="48"/>
      <c r="G5" s="48">
        <f>COUNTIF(BAS_IAS_MultiMonth[Current status],"&lt;&gt;Not applicable")</f>
        <v>18</v>
      </c>
      <c r="H5" s="119"/>
      <c r="I5" s="94"/>
      <c r="J5" s="48">
        <f>COUNTIF(BAS_IAS_MultiMonth[Current status],"Done")</f>
        <v>18</v>
      </c>
      <c r="K5" s="48"/>
      <c r="L5" s="48">
        <f>COUNTIF(BAS_IAS_MultiMonth[Current status],"For review")</f>
        <v>0</v>
      </c>
      <c r="M5" s="48"/>
      <c r="N5" s="48">
        <f>COUNTIF(BAS_IAS_MultiMonth[Current status],"Waiting on client")</f>
        <v>0</v>
      </c>
      <c r="O5" s="48"/>
      <c r="P5" s="48">
        <f>COUNTIF(BAS_IAS_MultiMonth[Current status],"Not started")</f>
        <v>0</v>
      </c>
      <c r="Q5" s="48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</row>
    <row r="6" spans="1:32" ht="8.25" customHeight="1">
      <c r="A6" s="140"/>
      <c r="B6" s="140"/>
      <c r="C6" s="140"/>
      <c r="D6" s="140"/>
      <c r="E6" s="140"/>
      <c r="F6" s="140"/>
      <c r="G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</row>
    <row r="7" spans="1:32" ht="26.25" customHeight="1">
      <c r="A7" s="160" t="s">
        <v>238</v>
      </c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</row>
    <row r="8" spans="1:32">
      <c r="A8" s="157" t="s">
        <v>239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</row>
    <row r="9" spans="1:32" ht="26.25" customHeight="1">
      <c r="A9" s="140"/>
      <c r="B9" s="140"/>
      <c r="C9" s="140"/>
      <c r="D9" s="140"/>
      <c r="E9" s="140"/>
      <c r="F9" s="140"/>
      <c r="G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</row>
    <row r="10" spans="1:32">
      <c r="A10" s="140" t="s">
        <v>58</v>
      </c>
      <c r="B10" s="140" t="s">
        <v>139</v>
      </c>
      <c r="C10" s="140" t="s">
        <v>240</v>
      </c>
      <c r="D10" s="140" t="s">
        <v>140</v>
      </c>
      <c r="E10" s="140" t="s">
        <v>241</v>
      </c>
      <c r="F10" s="140" t="s">
        <v>242</v>
      </c>
      <c r="G10" s="140" t="s">
        <v>243</v>
      </c>
      <c r="H10" s="117" t="s">
        <v>244</v>
      </c>
      <c r="I10" s="40" t="s">
        <v>245</v>
      </c>
      <c r="J10" s="52" t="s">
        <v>246</v>
      </c>
      <c r="K10" s="52" t="s">
        <v>247</v>
      </c>
      <c r="L10" s="52" t="s">
        <v>248</v>
      </c>
      <c r="M10" s="52" t="s">
        <v>249</v>
      </c>
      <c r="N10" s="52" t="s">
        <v>250</v>
      </c>
      <c r="O10" s="52" t="s">
        <v>251</v>
      </c>
      <c r="P10" s="140" t="s">
        <v>252</v>
      </c>
      <c r="Q10" s="140" t="s">
        <v>253</v>
      </c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</row>
    <row r="11" spans="1:32" ht="28.5" hidden="1" customHeight="1">
      <c r="A11" s="140"/>
      <c r="B11" s="40" t="s">
        <v>254</v>
      </c>
      <c r="C11" s="140" t="s">
        <v>255</v>
      </c>
      <c r="D11" s="37" t="s">
        <v>256</v>
      </c>
      <c r="E11" s="37" t="s">
        <v>257</v>
      </c>
      <c r="F11" s="37" t="s">
        <v>258</v>
      </c>
      <c r="G11" s="140" t="s">
        <v>259</v>
      </c>
      <c r="I11" s="140" t="s">
        <v>79</v>
      </c>
      <c r="J11" s="140" t="s">
        <v>260</v>
      </c>
      <c r="K11" s="140" t="s">
        <v>260</v>
      </c>
      <c r="L11" s="140" t="s">
        <v>103</v>
      </c>
      <c r="M11" s="140" t="s">
        <v>103</v>
      </c>
      <c r="N11" s="140" t="s">
        <v>103</v>
      </c>
      <c r="O11" s="140" t="s">
        <v>103</v>
      </c>
      <c r="P11" s="140" t="str" cm="1">
        <f t="array" ref="P11">IF(OR(MONTH($B$4)&lt;7,MONTH($B$4)&gt;12),"Set Jul-Dec",INDEX($J11:$O11,1,MONTH($B$4)-6))</f>
        <v>Not applicable</v>
      </c>
      <c r="Q11" s="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</row>
    <row r="12" spans="1:32" ht="28.5" hidden="1" customHeight="1">
      <c r="A12" s="140"/>
      <c r="B12" s="40" t="s">
        <v>261</v>
      </c>
      <c r="C12" s="140" t="s">
        <v>262</v>
      </c>
      <c r="D12" s="37" t="s">
        <v>263</v>
      </c>
      <c r="E12" s="37" t="s">
        <v>257</v>
      </c>
      <c r="F12" s="37" t="s">
        <v>264</v>
      </c>
      <c r="G12" s="140" t="s">
        <v>265</v>
      </c>
      <c r="I12" s="140" t="s">
        <v>79</v>
      </c>
      <c r="J12" s="140" t="s">
        <v>79</v>
      </c>
      <c r="K12" s="140" t="s">
        <v>103</v>
      </c>
      <c r="L12" s="140" t="s">
        <v>103</v>
      </c>
      <c r="M12" s="140" t="s">
        <v>103</v>
      </c>
      <c r="N12" s="140" t="s">
        <v>103</v>
      </c>
      <c r="O12" s="140" t="s">
        <v>103</v>
      </c>
      <c r="P12" s="140" t="str" cm="1">
        <f t="array" ref="P12">IF(OR(MONTH($B$4)&lt;7,MONTH($B$4)&gt;12),"Set Jul-Dec",INDEX($J12:$O12,1,MONTH($B$4)-6))</f>
        <v>Done</v>
      </c>
      <c r="Q12" s="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</row>
    <row r="13" spans="1:32" s="129" customFormat="1" ht="28.5" customHeight="1">
      <c r="B13" s="130" t="s">
        <v>266</v>
      </c>
      <c r="C13" s="129" t="s">
        <v>267</v>
      </c>
      <c r="D13" s="131" t="s">
        <v>256</v>
      </c>
      <c r="E13" s="131" t="s">
        <v>268</v>
      </c>
      <c r="F13" s="131"/>
      <c r="G13" s="140"/>
      <c r="H13" s="132" t="s">
        <v>269</v>
      </c>
      <c r="I13" s="129" t="s">
        <v>79</v>
      </c>
      <c r="J13" s="129" t="s">
        <v>79</v>
      </c>
      <c r="K13" s="129" t="s">
        <v>103</v>
      </c>
      <c r="L13" s="129" t="s">
        <v>103</v>
      </c>
      <c r="M13" s="129" t="s">
        <v>103</v>
      </c>
      <c r="N13" s="129" t="s">
        <v>103</v>
      </c>
      <c r="O13" s="129" t="s">
        <v>103</v>
      </c>
      <c r="P13" s="129" t="str" cm="1">
        <f t="array" ref="P13">IF(OR(MONTH($B$4)&lt;7,MONTH($B$4)&gt;12),"Set Jul-Dec",INDEX($J13:$O13,1,MONTH($B$4)-6))</f>
        <v>Done</v>
      </c>
      <c r="Q13" s="130"/>
    </row>
    <row r="14" spans="1:32" s="129" customFormat="1" ht="28.5" customHeight="1">
      <c r="B14" s="130" t="s">
        <v>109</v>
      </c>
      <c r="C14" s="129" t="s">
        <v>270</v>
      </c>
      <c r="D14" s="131" t="s">
        <v>256</v>
      </c>
      <c r="E14" s="131" t="s">
        <v>268</v>
      </c>
      <c r="F14" s="131" t="s">
        <v>112</v>
      </c>
      <c r="G14" s="140" t="s">
        <v>265</v>
      </c>
      <c r="H14" s="132" t="s">
        <v>269</v>
      </c>
      <c r="I14" s="129" t="s">
        <v>79</v>
      </c>
      <c r="J14" s="129" t="s">
        <v>79</v>
      </c>
      <c r="K14" s="129" t="s">
        <v>103</v>
      </c>
      <c r="L14" s="129" t="s">
        <v>103</v>
      </c>
      <c r="M14" s="129" t="s">
        <v>103</v>
      </c>
      <c r="N14" s="129" t="s">
        <v>103</v>
      </c>
      <c r="O14" s="129" t="s">
        <v>103</v>
      </c>
      <c r="P14" s="129" t="str" cm="1">
        <f t="array" ref="P14">IF(OR(MONTH($B$4)&lt;7,MONTH($B$4)&gt;12),"Set Jul-Dec",INDEX($J14:$O14,1,MONTH($B$4)-6))</f>
        <v>Done</v>
      </c>
      <c r="Q14" s="130"/>
    </row>
    <row r="15" spans="1:32" s="129" customFormat="1" ht="28.5" customHeight="1">
      <c r="B15" s="130" t="s">
        <v>271</v>
      </c>
      <c r="C15" s="129" t="s">
        <v>272</v>
      </c>
      <c r="D15" s="131" t="s">
        <v>263</v>
      </c>
      <c r="E15" s="131" t="s">
        <v>268</v>
      </c>
      <c r="F15" s="131" t="s">
        <v>258</v>
      </c>
      <c r="G15" s="140" t="s">
        <v>265</v>
      </c>
      <c r="H15" s="132"/>
      <c r="I15" s="129" t="s">
        <v>79</v>
      </c>
      <c r="J15" s="129" t="s">
        <v>79</v>
      </c>
      <c r="K15" s="129" t="s">
        <v>260</v>
      </c>
      <c r="L15" s="129" t="s">
        <v>103</v>
      </c>
      <c r="M15" s="129" t="s">
        <v>260</v>
      </c>
      <c r="N15" s="129" t="s">
        <v>260</v>
      </c>
      <c r="O15" s="129" t="s">
        <v>103</v>
      </c>
      <c r="P15" s="129" t="str" cm="1">
        <f t="array" ref="P15">IF(OR(MONTH($B$4)&lt;7,MONTH($B$4)&gt;12),"Set Jul-Dec",INDEX($J15:$O15,1,MONTH($B$4)-6))</f>
        <v>Done</v>
      </c>
      <c r="Q15" s="130"/>
    </row>
    <row r="16" spans="1:32" s="129" customFormat="1" ht="28.5" customHeight="1">
      <c r="A16" s="129" t="s">
        <v>75</v>
      </c>
      <c r="B16" s="130" t="s">
        <v>94</v>
      </c>
      <c r="C16" s="129" t="s">
        <v>272</v>
      </c>
      <c r="D16" s="131" t="s">
        <v>256</v>
      </c>
      <c r="E16" s="131" t="s">
        <v>268</v>
      </c>
      <c r="F16" s="131" t="s">
        <v>273</v>
      </c>
      <c r="G16" s="91" t="s">
        <v>259</v>
      </c>
      <c r="H16" s="133" t="s">
        <v>274</v>
      </c>
      <c r="I16" s="129" t="s">
        <v>275</v>
      </c>
      <c r="J16" s="129" t="s">
        <v>260</v>
      </c>
      <c r="K16" s="129" t="s">
        <v>260</v>
      </c>
      <c r="L16" s="129" t="s">
        <v>260</v>
      </c>
      <c r="M16" s="129" t="s">
        <v>260</v>
      </c>
      <c r="N16" s="129" t="s">
        <v>260</v>
      </c>
      <c r="O16" s="129" t="s">
        <v>260</v>
      </c>
      <c r="P16" s="129" t="str" cm="1">
        <f t="array" ref="P16">IF(OR(MONTH($B$4)&lt;7,MONTH($B$4)&gt;12),"Set Jul-Dec",INDEX($J16:$O16,1,MONTH($B$4)-6))</f>
        <v>Not applicable</v>
      </c>
      <c r="Q16" s="130"/>
    </row>
    <row r="17" spans="1:32" s="129" customFormat="1" ht="28.5" customHeight="1">
      <c r="B17" s="130" t="s">
        <v>114</v>
      </c>
      <c r="C17" s="129" t="s">
        <v>276</v>
      </c>
      <c r="D17" s="131" t="s">
        <v>263</v>
      </c>
      <c r="E17" s="131" t="s">
        <v>268</v>
      </c>
      <c r="F17" s="131" t="s">
        <v>116</v>
      </c>
      <c r="G17" s="140" t="s">
        <v>265</v>
      </c>
      <c r="H17" s="132"/>
      <c r="I17" s="129" t="s">
        <v>79</v>
      </c>
      <c r="J17" s="129" t="s">
        <v>79</v>
      </c>
      <c r="K17" s="129" t="s">
        <v>103</v>
      </c>
      <c r="L17" s="129" t="s">
        <v>103</v>
      </c>
      <c r="M17" s="129" t="s">
        <v>103</v>
      </c>
      <c r="N17" s="129" t="s">
        <v>103</v>
      </c>
      <c r="O17" s="129" t="s">
        <v>103</v>
      </c>
      <c r="P17" s="129" t="str" cm="1">
        <f t="array" ref="P17">IF(OR(MONTH($B$4)&lt;7,MONTH($B$4)&gt;12),"Set Jul-Dec",INDEX($J17:$O17,1,MONTH($B$4)-6))</f>
        <v>Done</v>
      </c>
      <c r="Q17" s="130"/>
    </row>
    <row r="18" spans="1:32" s="129" customFormat="1" ht="28.5" customHeight="1">
      <c r="B18" s="130" t="s">
        <v>101</v>
      </c>
      <c r="C18" s="129" t="s">
        <v>276</v>
      </c>
      <c r="D18" s="131" t="s">
        <v>263</v>
      </c>
      <c r="E18" s="131" t="s">
        <v>268</v>
      </c>
      <c r="F18" s="131" t="s">
        <v>116</v>
      </c>
      <c r="G18" s="140" t="s">
        <v>259</v>
      </c>
      <c r="H18" s="132"/>
      <c r="I18" s="129" t="s">
        <v>79</v>
      </c>
      <c r="J18" s="129" t="s">
        <v>79</v>
      </c>
      <c r="K18" s="129" t="s">
        <v>191</v>
      </c>
      <c r="L18" s="129" t="s">
        <v>103</v>
      </c>
      <c r="M18" s="129" t="s">
        <v>103</v>
      </c>
      <c r="N18" s="129" t="s">
        <v>103</v>
      </c>
      <c r="O18" s="129" t="s">
        <v>103</v>
      </c>
      <c r="P18" s="129" t="str" cm="1">
        <f t="array" ref="P18">IF(OR(MONTH($B$4)&lt;7,MONTH($B$4)&gt;12),"Set Jul-Dec",INDEX($J18:$O18,1,MONTH($B$4)-6))</f>
        <v>Done</v>
      </c>
      <c r="Q18" s="130"/>
    </row>
    <row r="19" spans="1:32" s="129" customFormat="1" ht="28.5" customHeight="1">
      <c r="B19" s="130" t="s">
        <v>277</v>
      </c>
      <c r="C19" s="129" t="s">
        <v>278</v>
      </c>
      <c r="D19" s="131" t="s">
        <v>263</v>
      </c>
      <c r="E19" s="131" t="s">
        <v>268</v>
      </c>
      <c r="F19" s="131" t="s">
        <v>279</v>
      </c>
      <c r="G19" s="140"/>
      <c r="H19" s="132"/>
      <c r="I19" s="129" t="s">
        <v>79</v>
      </c>
      <c r="J19" s="129" t="s">
        <v>79</v>
      </c>
      <c r="K19" s="129" t="s">
        <v>260</v>
      </c>
      <c r="L19" s="129" t="s">
        <v>103</v>
      </c>
      <c r="M19" s="129" t="s">
        <v>260</v>
      </c>
      <c r="N19" s="129" t="s">
        <v>260</v>
      </c>
      <c r="O19" s="129" t="s">
        <v>103</v>
      </c>
      <c r="P19" s="129" t="str" cm="1">
        <f t="array" ref="P19">IF(OR(MONTH($B$4)&lt;7,MONTH($B$4)&gt;12),"Set Jul-Dec",INDEX($J19:$O19,1,MONTH($B$4)-6))</f>
        <v>Done</v>
      </c>
      <c r="Q19" s="130"/>
    </row>
    <row r="20" spans="1:32" s="129" customFormat="1" ht="28.5" customHeight="1">
      <c r="B20" s="130" t="s">
        <v>91</v>
      </c>
      <c r="C20" s="129" t="s">
        <v>276</v>
      </c>
      <c r="D20" s="131" t="s">
        <v>263</v>
      </c>
      <c r="E20" s="131" t="s">
        <v>268</v>
      </c>
      <c r="F20" s="131" t="s">
        <v>273</v>
      </c>
      <c r="G20" s="91" t="s">
        <v>259</v>
      </c>
      <c r="H20" s="134" t="s">
        <v>280</v>
      </c>
      <c r="I20" s="129" t="s">
        <v>79</v>
      </c>
      <c r="J20" s="129" t="s">
        <v>260</v>
      </c>
      <c r="K20" s="129" t="s">
        <v>260</v>
      </c>
      <c r="L20" s="129" t="s">
        <v>260</v>
      </c>
      <c r="M20" s="129" t="s">
        <v>260</v>
      </c>
      <c r="N20" s="129" t="s">
        <v>260</v>
      </c>
      <c r="O20" s="129" t="s">
        <v>260</v>
      </c>
      <c r="P20" s="129" t="str" cm="1">
        <f t="array" ref="P20">IF(OR(MONTH($B$4)&lt;7,MONTH($B$4)&gt;12),"Set Jul-Dec",INDEX($J20:$O20,1,MONTH($B$4)-6))</f>
        <v>Not applicable</v>
      </c>
      <c r="Q20" s="130"/>
    </row>
    <row r="21" spans="1:32" s="129" customFormat="1" ht="28.5" customHeight="1">
      <c r="B21" s="130" t="s">
        <v>281</v>
      </c>
      <c r="C21" s="129" t="s">
        <v>276</v>
      </c>
      <c r="D21" s="131" t="s">
        <v>263</v>
      </c>
      <c r="E21" s="131" t="s">
        <v>268</v>
      </c>
      <c r="F21" s="131" t="s">
        <v>282</v>
      </c>
      <c r="G21" s="95" t="s">
        <v>259</v>
      </c>
      <c r="H21" s="132" t="s">
        <v>283</v>
      </c>
      <c r="I21" s="129" t="s">
        <v>260</v>
      </c>
      <c r="J21" s="129" t="s">
        <v>260</v>
      </c>
      <c r="K21" s="129" t="s">
        <v>260</v>
      </c>
      <c r="L21" s="129" t="s">
        <v>260</v>
      </c>
      <c r="M21" s="129" t="s">
        <v>260</v>
      </c>
      <c r="N21" s="129" t="s">
        <v>260</v>
      </c>
      <c r="O21" s="129" t="s">
        <v>260</v>
      </c>
      <c r="P21" s="129" t="s">
        <v>260</v>
      </c>
      <c r="Q21" s="130"/>
    </row>
    <row r="22" spans="1:32" s="129" customFormat="1" ht="28.5" customHeight="1">
      <c r="B22" s="130" t="s">
        <v>284</v>
      </c>
      <c r="C22" s="129" t="s">
        <v>272</v>
      </c>
      <c r="D22" s="131" t="s">
        <v>263</v>
      </c>
      <c r="E22" s="131" t="s">
        <v>268</v>
      </c>
      <c r="F22" s="131" t="s">
        <v>258</v>
      </c>
      <c r="G22" s="140" t="s">
        <v>265</v>
      </c>
      <c r="H22" s="132"/>
      <c r="I22" s="129" t="s">
        <v>79</v>
      </c>
      <c r="J22" s="129" t="s">
        <v>260</v>
      </c>
      <c r="K22" s="129" t="s">
        <v>260</v>
      </c>
      <c r="L22" s="129" t="s">
        <v>103</v>
      </c>
      <c r="M22" s="129" t="s">
        <v>260</v>
      </c>
      <c r="N22" s="129" t="s">
        <v>260</v>
      </c>
      <c r="O22" s="129" t="s">
        <v>103</v>
      </c>
      <c r="P22" s="129" t="str" cm="1">
        <f t="array" ref="P22">IF(OR(MONTH($B$4)&lt;7,MONTH($B$4)&gt;12),"Set Jul-Dec",INDEX($J22:$O22,1,MONTH($B$4)-6))</f>
        <v>Not applicable</v>
      </c>
      <c r="Q22" s="130"/>
    </row>
    <row r="23" spans="1:32" s="129" customFormat="1" ht="28.5" customHeight="1">
      <c r="B23" s="130" t="s">
        <v>285</v>
      </c>
      <c r="C23" s="129" t="s">
        <v>272</v>
      </c>
      <c r="D23" s="131" t="s">
        <v>263</v>
      </c>
      <c r="E23" s="131" t="s">
        <v>268</v>
      </c>
      <c r="F23" s="131" t="s">
        <v>258</v>
      </c>
      <c r="G23" s="140" t="s">
        <v>265</v>
      </c>
      <c r="H23" s="132"/>
      <c r="I23" s="129" t="s">
        <v>79</v>
      </c>
      <c r="J23" s="129" t="s">
        <v>260</v>
      </c>
      <c r="K23" s="129" t="s">
        <v>260</v>
      </c>
      <c r="L23" s="129" t="s">
        <v>103</v>
      </c>
      <c r="M23" s="129" t="s">
        <v>260</v>
      </c>
      <c r="N23" s="129" t="s">
        <v>260</v>
      </c>
      <c r="O23" s="129" t="s">
        <v>103</v>
      </c>
      <c r="P23" s="129" t="str" cm="1">
        <f t="array" ref="P23">IF(OR(MONTH($B$4)&lt;7,MONTH($B$4)&gt;12),"Set Jul-Dec",INDEX($J23:$O23,1,MONTH($B$4)-6))</f>
        <v>Not applicable</v>
      </c>
      <c r="Q23" s="130"/>
    </row>
    <row r="24" spans="1:32" s="129" customFormat="1" ht="28.5" customHeight="1">
      <c r="B24" s="130" t="s">
        <v>286</v>
      </c>
      <c r="C24" s="129" t="s">
        <v>272</v>
      </c>
      <c r="D24" s="131" t="s">
        <v>263</v>
      </c>
      <c r="E24" s="131" t="s">
        <v>268</v>
      </c>
      <c r="F24" s="131" t="s">
        <v>258</v>
      </c>
      <c r="G24" s="140" t="s">
        <v>265</v>
      </c>
      <c r="H24" s="132"/>
      <c r="I24" s="129" t="s">
        <v>79</v>
      </c>
      <c r="J24" s="129" t="s">
        <v>260</v>
      </c>
      <c r="K24" s="129" t="s">
        <v>260</v>
      </c>
      <c r="L24" s="129" t="s">
        <v>103</v>
      </c>
      <c r="M24" s="129" t="s">
        <v>260</v>
      </c>
      <c r="N24" s="129" t="s">
        <v>260</v>
      </c>
      <c r="O24" s="129" t="s">
        <v>103</v>
      </c>
      <c r="P24" s="129" t="str" cm="1">
        <f t="array" ref="P24">IF(OR(MONTH($B$4)&lt;7,MONTH($B$4)&gt;12),"Set Jul-Dec",INDEX($J24:$O24,1,MONTH($B$4)-6))</f>
        <v>Not applicable</v>
      </c>
      <c r="Q24" s="130"/>
    </row>
    <row r="25" spans="1:32" s="91" customFormat="1" ht="28.5" hidden="1" customHeight="1">
      <c r="B25" s="92" t="s">
        <v>287</v>
      </c>
      <c r="C25" s="91" t="s">
        <v>276</v>
      </c>
      <c r="D25" s="116" t="s">
        <v>263</v>
      </c>
      <c r="E25" s="116" t="s">
        <v>257</v>
      </c>
      <c r="F25" s="116"/>
      <c r="G25" s="91" t="s">
        <v>258</v>
      </c>
      <c r="H25" s="120" t="s">
        <v>288</v>
      </c>
      <c r="I25" s="91" t="s">
        <v>289</v>
      </c>
      <c r="J25" s="91" t="s">
        <v>79</v>
      </c>
      <c r="K25" s="91" t="s">
        <v>260</v>
      </c>
      <c r="L25" s="91" t="s">
        <v>260</v>
      </c>
      <c r="M25" s="91" t="s">
        <v>260</v>
      </c>
      <c r="N25" s="91" t="s">
        <v>260</v>
      </c>
      <c r="O25" s="91" t="s">
        <v>260</v>
      </c>
      <c r="P25" s="91" t="str" cm="1">
        <f t="array" ref="P25">IF(OR(MONTH($B$4)&lt;7,MONTH($B$4)&gt;12),"Set Jul-Dec",INDEX($J25:$O25,1,MONTH($B$4)-6))</f>
        <v>Done</v>
      </c>
      <c r="Q25" s="92"/>
    </row>
    <row r="26" spans="1:32" ht="28.5" hidden="1" customHeight="1">
      <c r="A26" s="140"/>
      <c r="B26" s="40" t="s">
        <v>290</v>
      </c>
      <c r="C26" s="140" t="s">
        <v>276</v>
      </c>
      <c r="D26" s="37" t="s">
        <v>263</v>
      </c>
      <c r="E26" s="37" t="s">
        <v>257</v>
      </c>
      <c r="F26" s="37" t="s">
        <v>273</v>
      </c>
      <c r="G26" s="140" t="s">
        <v>259</v>
      </c>
      <c r="I26" s="140" t="s">
        <v>79</v>
      </c>
      <c r="J26" s="140" t="s">
        <v>79</v>
      </c>
      <c r="K26" s="140" t="s">
        <v>103</v>
      </c>
      <c r="L26" s="140" t="s">
        <v>103</v>
      </c>
      <c r="M26" s="140" t="s">
        <v>103</v>
      </c>
      <c r="N26" s="140" t="s">
        <v>103</v>
      </c>
      <c r="O26" s="140" t="s">
        <v>103</v>
      </c>
      <c r="P26" s="140" t="str" cm="1">
        <f t="array" ref="P26">IF(OR(MONTH($B$4)&lt;7,MONTH($B$4)&gt;12),"Set Jul-Dec",INDEX($J26:$O26,1,MONTH($B$4)-6))</f>
        <v>Done</v>
      </c>
      <c r="Q26" s="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</row>
    <row r="27" spans="1:32" ht="28.5" hidden="1" customHeight="1">
      <c r="A27" s="140"/>
      <c r="B27" s="40" t="s">
        <v>291</v>
      </c>
      <c r="C27" s="140" t="s">
        <v>276</v>
      </c>
      <c r="D27" s="37" t="s">
        <v>263</v>
      </c>
      <c r="E27" s="37" t="s">
        <v>257</v>
      </c>
      <c r="F27" s="37" t="s">
        <v>292</v>
      </c>
      <c r="G27" s="140" t="s">
        <v>259</v>
      </c>
      <c r="H27" s="117" t="s">
        <v>293</v>
      </c>
      <c r="I27" s="140" t="s">
        <v>79</v>
      </c>
      <c r="J27" s="140" t="s">
        <v>79</v>
      </c>
      <c r="K27" s="140" t="s">
        <v>103</v>
      </c>
      <c r="L27" s="140" t="s">
        <v>103</v>
      </c>
      <c r="M27" s="140" t="s">
        <v>103</v>
      </c>
      <c r="N27" s="140" t="s">
        <v>103</v>
      </c>
      <c r="O27" s="140" t="s">
        <v>103</v>
      </c>
      <c r="P27" s="140" t="str" cm="1">
        <f t="array" ref="P27">IF(OR(MONTH($B$4)&lt;7,MONTH($B$4)&gt;12),"Set Jul-Dec",INDEX($J27:$O27,1,MONTH($B$4)-6))</f>
        <v>Done</v>
      </c>
      <c r="Q27" s="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</row>
    <row r="28" spans="1:32" ht="28.5" hidden="1" customHeight="1">
      <c r="A28" s="140" t="s">
        <v>75</v>
      </c>
      <c r="B28" s="40" t="s">
        <v>294</v>
      </c>
      <c r="C28" s="140" t="s">
        <v>276</v>
      </c>
      <c r="D28" s="37" t="s">
        <v>263</v>
      </c>
      <c r="E28" s="37" t="s">
        <v>257</v>
      </c>
      <c r="F28" s="37" t="s">
        <v>273</v>
      </c>
      <c r="G28" s="140" t="s">
        <v>259</v>
      </c>
      <c r="I28" s="140" t="s">
        <v>79</v>
      </c>
      <c r="J28" s="140" t="s">
        <v>79</v>
      </c>
      <c r="K28" s="140" t="s">
        <v>103</v>
      </c>
      <c r="L28" s="140" t="s">
        <v>103</v>
      </c>
      <c r="M28" s="140" t="s">
        <v>103</v>
      </c>
      <c r="N28" s="140" t="s">
        <v>103</v>
      </c>
      <c r="O28" s="140" t="s">
        <v>103</v>
      </c>
      <c r="P28" s="140" t="str" cm="1">
        <f t="array" ref="P28">IF(OR(MONTH($B$4)&lt;7,MONTH($B$4)&gt;12),"Set Jul-Dec",INDEX($J28:$O28,1,MONTH($B$4)-6))</f>
        <v>Done</v>
      </c>
      <c r="Q28" s="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</row>
    <row r="29" spans="1:32" s="129" customFormat="1" ht="37.5" customHeight="1">
      <c r="B29" s="130" t="s">
        <v>295</v>
      </c>
      <c r="C29" s="129" t="s">
        <v>272</v>
      </c>
      <c r="D29" s="131" t="s">
        <v>263</v>
      </c>
      <c r="E29" s="131" t="s">
        <v>268</v>
      </c>
      <c r="F29" s="131" t="s">
        <v>258</v>
      </c>
      <c r="G29" s="140" t="s">
        <v>265</v>
      </c>
      <c r="H29" s="132"/>
      <c r="I29" s="129" t="s">
        <v>79</v>
      </c>
      <c r="J29" s="129" t="s">
        <v>260</v>
      </c>
      <c r="K29" s="129" t="s">
        <v>260</v>
      </c>
      <c r="L29" s="129" t="s">
        <v>103</v>
      </c>
      <c r="M29" s="129" t="s">
        <v>260</v>
      </c>
      <c r="N29" s="129" t="s">
        <v>260</v>
      </c>
      <c r="O29" s="129" t="s">
        <v>103</v>
      </c>
      <c r="P29" s="129" t="str" cm="1">
        <f t="array" ref="P29">IF(OR(MONTH($B$4)&lt;7,MONTH($B$4)&gt;12),"Set Jul-Dec",INDEX($J29:$O29,1,MONTH($B$4)-6))</f>
        <v>Not applicable</v>
      </c>
      <c r="Q29" s="130"/>
    </row>
    <row r="30" spans="1:32" s="129" customFormat="1" ht="28.5" customHeight="1">
      <c r="A30" s="129" t="s">
        <v>75</v>
      </c>
      <c r="B30" s="130" t="s">
        <v>117</v>
      </c>
      <c r="C30" s="129" t="s">
        <v>270</v>
      </c>
      <c r="D30" s="131" t="s">
        <v>263</v>
      </c>
      <c r="E30" s="131" t="s">
        <v>268</v>
      </c>
      <c r="F30" s="131" t="s">
        <v>116</v>
      </c>
      <c r="G30" s="140" t="s">
        <v>265</v>
      </c>
      <c r="H30" s="132" t="s">
        <v>296</v>
      </c>
      <c r="I30" s="129" t="s">
        <v>79</v>
      </c>
      <c r="J30" s="129" t="s">
        <v>79</v>
      </c>
      <c r="K30" s="129" t="s">
        <v>103</v>
      </c>
      <c r="L30" s="129" t="s">
        <v>103</v>
      </c>
      <c r="M30" s="129" t="s">
        <v>103</v>
      </c>
      <c r="N30" s="129" t="s">
        <v>103</v>
      </c>
      <c r="O30" s="129" t="s">
        <v>103</v>
      </c>
      <c r="P30" s="129" t="str" cm="1">
        <f t="array" ref="P30">IF(OR(MONTH($B$4)&lt;7,MONTH($B$4)&gt;12),"Set Jul-Dec",INDEX($J30:$O30,1,MONTH($B$4)-6))</f>
        <v>Done</v>
      </c>
      <c r="Q30" s="130"/>
    </row>
    <row r="31" spans="1:32" s="129" customFormat="1" ht="28.5" customHeight="1">
      <c r="B31" s="130" t="s">
        <v>297</v>
      </c>
      <c r="C31" s="129" t="s">
        <v>276</v>
      </c>
      <c r="D31" s="131" t="s">
        <v>256</v>
      </c>
      <c r="E31" s="131" t="s">
        <v>268</v>
      </c>
      <c r="F31" s="131" t="s">
        <v>273</v>
      </c>
      <c r="G31" s="95" t="s">
        <v>258</v>
      </c>
      <c r="H31" s="132" t="s">
        <v>298</v>
      </c>
      <c r="I31" s="129" t="s">
        <v>260</v>
      </c>
      <c r="J31" s="129" t="s">
        <v>260</v>
      </c>
      <c r="K31" s="129" t="s">
        <v>260</v>
      </c>
      <c r="L31" s="129" t="s">
        <v>260</v>
      </c>
      <c r="M31" s="129" t="s">
        <v>260</v>
      </c>
      <c r="N31" s="129" t="s">
        <v>260</v>
      </c>
      <c r="O31" s="129" t="s">
        <v>260</v>
      </c>
      <c r="P31" s="129" t="str" cm="1">
        <f t="array" ref="P31">IF(OR(MONTH($B$4)&lt;7,MONTH($B$4)&gt;12),"Set Jul-Dec",INDEX($J31:$O31,1,MONTH($B$4)-6))</f>
        <v>Not applicable</v>
      </c>
      <c r="Q31" s="130"/>
    </row>
    <row r="32" spans="1:32" s="129" customFormat="1" ht="28.5" customHeight="1">
      <c r="B32" s="130" t="s">
        <v>299</v>
      </c>
      <c r="C32" s="129" t="s">
        <v>270</v>
      </c>
      <c r="D32" s="131" t="s">
        <v>256</v>
      </c>
      <c r="E32" s="131" t="s">
        <v>268</v>
      </c>
      <c r="F32" s="131" t="s">
        <v>112</v>
      </c>
      <c r="G32" s="140" t="s">
        <v>265</v>
      </c>
      <c r="H32" s="132"/>
      <c r="I32" s="129" t="s">
        <v>79</v>
      </c>
      <c r="J32" s="129" t="s">
        <v>79</v>
      </c>
      <c r="K32" s="129" t="s">
        <v>103</v>
      </c>
      <c r="L32" s="129" t="s">
        <v>103</v>
      </c>
      <c r="M32" s="129" t="s">
        <v>103</v>
      </c>
      <c r="N32" s="129" t="s">
        <v>103</v>
      </c>
      <c r="O32" s="129" t="s">
        <v>103</v>
      </c>
      <c r="P32" s="129" t="str" cm="1">
        <f t="array" ref="P32">IF(OR(MONTH($B$4)&lt;7,MONTH($B$4)&gt;12),"Set Jul-Dec",INDEX($J32:$O32,1,MONTH($B$4)-6))</f>
        <v>Done</v>
      </c>
      <c r="Q32" s="130"/>
    </row>
    <row r="33" spans="1:32" s="129" customFormat="1" ht="28.5" customHeight="1">
      <c r="B33" s="130" t="s">
        <v>277</v>
      </c>
      <c r="C33" s="129" t="s">
        <v>270</v>
      </c>
      <c r="D33" s="131" t="s">
        <v>263</v>
      </c>
      <c r="E33" s="131" t="s">
        <v>268</v>
      </c>
      <c r="F33" s="131" t="s">
        <v>279</v>
      </c>
      <c r="G33" s="140" t="s">
        <v>265</v>
      </c>
      <c r="H33" s="132"/>
      <c r="I33" s="129" t="s">
        <v>79</v>
      </c>
      <c r="J33" s="129" t="s">
        <v>79</v>
      </c>
      <c r="K33" s="129" t="s">
        <v>191</v>
      </c>
      <c r="L33" s="129" t="s">
        <v>103</v>
      </c>
      <c r="M33" s="129" t="s">
        <v>103</v>
      </c>
      <c r="N33" s="129" t="s">
        <v>103</v>
      </c>
      <c r="O33" s="129" t="s">
        <v>103</v>
      </c>
      <c r="P33" s="129" t="str" cm="1">
        <f t="array" ref="P33">IF(OR(MONTH($B$4)&lt;7,MONTH($B$4)&gt;12),"Set Jul-Dec",INDEX($J33:$O33,1,MONTH($B$4)-6))</f>
        <v>Done</v>
      </c>
      <c r="Q33" s="130"/>
    </row>
    <row r="34" spans="1:32" s="129" customFormat="1" ht="30.75" customHeight="1">
      <c r="B34" s="130" t="s">
        <v>119</v>
      </c>
      <c r="C34" s="129" t="s">
        <v>270</v>
      </c>
      <c r="D34" s="131" t="s">
        <v>300</v>
      </c>
      <c r="E34" s="131" t="s">
        <v>268</v>
      </c>
      <c r="F34" s="131"/>
      <c r="G34" s="140"/>
      <c r="H34" s="132" t="s">
        <v>120</v>
      </c>
      <c r="I34" s="129" t="s">
        <v>79</v>
      </c>
      <c r="J34" s="129" t="s">
        <v>79</v>
      </c>
      <c r="K34" s="129" t="s">
        <v>103</v>
      </c>
      <c r="L34" s="129" t="s">
        <v>103</v>
      </c>
      <c r="M34" s="129" t="s">
        <v>103</v>
      </c>
      <c r="N34" s="129" t="s">
        <v>103</v>
      </c>
      <c r="O34" s="129" t="s">
        <v>103</v>
      </c>
      <c r="P34" s="129" t="str" cm="1">
        <f t="array" ref="P34">IF(OR(MONTH($B$4)&lt;7,MONTH($B$4)&gt;12),"Set Jul-Dec",INDEX($J34:$O34,1,MONTH($B$4)-6))</f>
        <v>Done</v>
      </c>
      <c r="Q34" s="130"/>
    </row>
    <row r="35" spans="1:32" s="129" customFormat="1" ht="28.5" customHeight="1">
      <c r="B35" s="130" t="s">
        <v>98</v>
      </c>
      <c r="C35" s="129" t="s">
        <v>276</v>
      </c>
      <c r="D35" s="131" t="s">
        <v>263</v>
      </c>
      <c r="E35" s="131" t="s">
        <v>268</v>
      </c>
      <c r="F35" s="131" t="s">
        <v>264</v>
      </c>
      <c r="G35" s="140" t="s">
        <v>259</v>
      </c>
      <c r="H35" s="132" t="s">
        <v>301</v>
      </c>
      <c r="I35" s="129" t="s">
        <v>79</v>
      </c>
      <c r="J35" s="129" t="s">
        <v>79</v>
      </c>
      <c r="K35" s="129" t="s">
        <v>191</v>
      </c>
      <c r="L35" s="129" t="s">
        <v>103</v>
      </c>
      <c r="M35" s="129" t="s">
        <v>103</v>
      </c>
      <c r="N35" s="129" t="s">
        <v>103</v>
      </c>
      <c r="O35" s="129" t="s">
        <v>103</v>
      </c>
      <c r="P35" s="129" t="str" cm="1">
        <f t="array" ref="P35">IF(OR(MONTH($B$4)&lt;7,MONTH($B$4)&gt;12),"Set Jul-Dec",INDEX($J35:$O35,1,MONTH($B$4)-6))</f>
        <v>Done</v>
      </c>
      <c r="Q35" s="130"/>
    </row>
    <row r="36" spans="1:32" ht="28.5" hidden="1" customHeight="1">
      <c r="A36" s="140"/>
      <c r="B36" s="40" t="s">
        <v>302</v>
      </c>
      <c r="C36" s="140" t="s">
        <v>272</v>
      </c>
      <c r="D36" s="37" t="s">
        <v>263</v>
      </c>
      <c r="E36" s="37" t="s">
        <v>303</v>
      </c>
      <c r="F36" s="37" t="s">
        <v>273</v>
      </c>
      <c r="G36" s="140" t="s">
        <v>259</v>
      </c>
      <c r="I36" s="140" t="s">
        <v>103</v>
      </c>
      <c r="J36" s="140" t="s">
        <v>79</v>
      </c>
      <c r="K36" s="140" t="s">
        <v>260</v>
      </c>
      <c r="L36" s="140" t="s">
        <v>103</v>
      </c>
      <c r="M36" s="140" t="s">
        <v>260</v>
      </c>
      <c r="N36" s="140" t="s">
        <v>260</v>
      </c>
      <c r="O36" s="140" t="s">
        <v>103</v>
      </c>
      <c r="P36" s="140" t="str" cm="1">
        <f t="array" ref="P36">IF(OR(MONTH($B$4)&lt;7,MONTH($B$4)&gt;12),"Set Jul-Dec",INDEX($J36:$O36,1,MONTH($B$4)-6))</f>
        <v>Done</v>
      </c>
      <c r="Q36" s="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</row>
    <row r="37" spans="1:32" s="129" customFormat="1" ht="28.5" customHeight="1">
      <c r="B37" s="130" t="s">
        <v>304</v>
      </c>
      <c r="C37" s="129" t="s">
        <v>276</v>
      </c>
      <c r="D37" s="131" t="s">
        <v>305</v>
      </c>
      <c r="E37" s="131" t="s">
        <v>268</v>
      </c>
      <c r="F37" s="131" t="s">
        <v>112</v>
      </c>
      <c r="G37" s="140"/>
      <c r="H37" s="132"/>
      <c r="I37" s="135" t="s">
        <v>79</v>
      </c>
      <c r="J37" s="129" t="s">
        <v>79</v>
      </c>
      <c r="K37" s="129" t="s">
        <v>191</v>
      </c>
      <c r="L37" s="129" t="s">
        <v>103</v>
      </c>
      <c r="M37" s="129" t="s">
        <v>103</v>
      </c>
      <c r="N37" s="129" t="s">
        <v>103</v>
      </c>
      <c r="O37" s="129" t="s">
        <v>103</v>
      </c>
      <c r="P37" s="129" t="str" cm="1">
        <f t="array" ref="P37">IF(OR(MONTH($B$4)&lt;7,MONTH($B$4)&gt;12),"Set Jul-Dec",INDEX($J37:$O37,1,MONTH($B$4)-6))</f>
        <v>Done</v>
      </c>
      <c r="Q37" s="130"/>
    </row>
    <row r="39" spans="1:32" ht="15" customHeight="1">
      <c r="A39" s="161" t="s">
        <v>306</v>
      </c>
      <c r="B39" s="162"/>
      <c r="C39" s="162"/>
      <c r="D39" s="162"/>
      <c r="E39" s="162"/>
      <c r="F39" s="162"/>
      <c r="G39" s="162"/>
      <c r="H39" s="163"/>
      <c r="I39" s="163"/>
      <c r="J39" s="163"/>
      <c r="K39" s="163"/>
      <c r="L39" s="163"/>
      <c r="M39" s="163"/>
      <c r="N39" s="163"/>
      <c r="O39" s="163"/>
      <c r="P39" s="162"/>
      <c r="Q39" s="162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</row>
    <row r="40" spans="1:32" ht="15" customHeight="1">
      <c r="A40" s="140"/>
      <c r="B40" s="140"/>
      <c r="C40" s="140"/>
      <c r="D40" s="140"/>
      <c r="E40" s="140"/>
      <c r="F40" s="140"/>
      <c r="G40" s="36"/>
      <c r="H40" s="118" t="s">
        <v>307</v>
      </c>
      <c r="I40" s="107" t="str">
        <f>I$10</f>
        <v>June status</v>
      </c>
      <c r="J40" s="108" t="str">
        <f>J$10</f>
        <v>Jul status</v>
      </c>
      <c r="K40" s="108" t="str">
        <f>K$10</f>
        <v>Aug status</v>
      </c>
      <c r="L40" s="108" t="str">
        <f>L$10</f>
        <v>Sep status</v>
      </c>
      <c r="M40" s="108" t="str">
        <f>M$10</f>
        <v>Oct status</v>
      </c>
      <c r="N40" s="108" t="str">
        <f>N$10</f>
        <v>Nov status</v>
      </c>
      <c r="O40" s="108" t="str">
        <f>O$10</f>
        <v>Dec status</v>
      </c>
      <c r="P40" s="36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</row>
    <row r="41" spans="1:32" ht="15" customHeight="1">
      <c r="A41" s="140"/>
      <c r="B41" s="140"/>
      <c r="C41" s="140"/>
      <c r="D41" s="140"/>
      <c r="E41" s="140"/>
      <c r="F41" s="140"/>
      <c r="G41" s="36"/>
      <c r="H41" s="121" t="s">
        <v>79</v>
      </c>
      <c r="I41" s="109">
        <f>COUNTIF(I$11:I$37,"Done")</f>
        <v>22</v>
      </c>
      <c r="J41" s="110">
        <f>COUNTIF(J$11:J$37,"Done")</f>
        <v>18</v>
      </c>
      <c r="K41" s="110">
        <f>COUNTIF(K$11:K$37,"Done")</f>
        <v>0</v>
      </c>
      <c r="L41" s="110">
        <f>COUNTIF(L$11:L$37,"Done")</f>
        <v>0</v>
      </c>
      <c r="M41" s="110">
        <f>COUNTIF(M$11:M$37,"Done")</f>
        <v>0</v>
      </c>
      <c r="N41" s="110">
        <f>COUNTIF(N$11:N$37,"Done")</f>
        <v>0</v>
      </c>
      <c r="O41" s="110">
        <f>COUNTIF(O$11:O$37,"Done")</f>
        <v>0</v>
      </c>
      <c r="P41" s="36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</row>
    <row r="42" spans="1:32" ht="15" customHeight="1">
      <c r="A42" s="140"/>
      <c r="B42" s="140"/>
      <c r="C42" s="140"/>
      <c r="D42" s="140"/>
      <c r="E42" s="140"/>
      <c r="F42" s="140"/>
      <c r="G42" s="36"/>
      <c r="H42" s="121" t="s">
        <v>134</v>
      </c>
      <c r="I42" s="111">
        <f>COUNTIFS(I$11:I$37,"&lt;&gt;",I$11:I$37,"&lt;&gt;Not applicable",I$11:I$37,"&lt;&gt;Done",I$11:I$37,"&lt;&gt;Waiting*")</f>
        <v>2</v>
      </c>
      <c r="J42" s="112">
        <f>COUNTIFS(J$11:J$37,"&lt;&gt;",J$11:J$37,"&lt;&gt;Not applicable",J$11:J$37,"&lt;&gt;Done",J$11:J$37,"&lt;&gt;Waiting*")</f>
        <v>0</v>
      </c>
      <c r="K42" s="112">
        <f>COUNTIFS(K$11:K$37,"&lt;&gt;",K$11:K$37,"&lt;&gt;Not applicable",K$11:K$37,"&lt;&gt;Done",K$11:K$37,"&lt;&gt;Waiting*")</f>
        <v>14</v>
      </c>
      <c r="L42" s="112">
        <f>COUNTIFS(L$11:L$37,"&lt;&gt;",L$11:L$37,"&lt;&gt;Not applicable",L$11:L$37,"&lt;&gt;Done",L$11:L$37,"&lt;&gt;Waiting*")</f>
        <v>22</v>
      </c>
      <c r="M42" s="112">
        <f>COUNTIFS(M$11:M$37,"&lt;&gt;",M$11:M$37,"&lt;&gt;Not applicable",M$11:M$37,"&lt;&gt;Done",M$11:M$37,"&lt;&gt;Waiting*")</f>
        <v>15</v>
      </c>
      <c r="N42" s="112">
        <f>COUNTIFS(N$11:N$37,"&lt;&gt;",N$11:N$37,"&lt;&gt;Not applicable",N$11:N$37,"&lt;&gt;Done",N$11:N$37,"&lt;&gt;Waiting*")</f>
        <v>15</v>
      </c>
      <c r="O42" s="112">
        <f>COUNTIFS(O$11:O$37,"&lt;&gt;",O$11:O$37,"&lt;&gt;Not applicable",O$11:O$37,"&lt;&gt;Done",O$11:O$37,"&lt;&gt;Waiting*")</f>
        <v>22</v>
      </c>
      <c r="P42" s="36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</row>
    <row r="43" spans="1:32" ht="15" customHeight="1">
      <c r="A43" s="140"/>
      <c r="B43" s="140"/>
      <c r="C43" s="140"/>
      <c r="D43" s="140"/>
      <c r="E43" s="140"/>
      <c r="F43" s="140"/>
      <c r="G43" s="36"/>
      <c r="H43" s="121" t="s">
        <v>237</v>
      </c>
      <c r="I43" s="113">
        <f>COUNTIF(I$11:I$37,"Waiting*")</f>
        <v>1</v>
      </c>
      <c r="J43" s="114">
        <f>COUNTIF(J$11:J$37,"Waiting*")</f>
        <v>0</v>
      </c>
      <c r="K43" s="114">
        <f>COUNTIF(K$11:K$37,"Waiting*")</f>
        <v>0</v>
      </c>
      <c r="L43" s="114">
        <f>COUNTIF(L$11:L$37,"Waiting*")</f>
        <v>0</v>
      </c>
      <c r="M43" s="114">
        <f>COUNTIF(M$11:M$37,"Waiting*")</f>
        <v>0</v>
      </c>
      <c r="N43" s="114">
        <f>COUNTIF(N$11:N$37,"Waiting*")</f>
        <v>0</v>
      </c>
      <c r="O43" s="114">
        <f>COUNTIF(O$11:O$37,"Waiting*")</f>
        <v>0</v>
      </c>
      <c r="P43" s="36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</row>
    <row r="44" spans="1:32" ht="15" customHeight="1">
      <c r="A44" s="140"/>
      <c r="B44" s="140"/>
      <c r="C44" s="140"/>
      <c r="D44" s="140"/>
      <c r="E44" s="140"/>
      <c r="F44" s="140"/>
      <c r="G44" s="140"/>
      <c r="H44" s="121" t="s">
        <v>260</v>
      </c>
      <c r="I44" s="113">
        <f>COUNTIF(I$11:I$37,"Not applicable")</f>
        <v>2</v>
      </c>
      <c r="J44" s="114">
        <f>COUNTIF(J$11:J$37,"Not applicable")</f>
        <v>9</v>
      </c>
      <c r="K44" s="114">
        <f>COUNTIF(K$11:K$37,"Not applicable")</f>
        <v>13</v>
      </c>
      <c r="L44" s="114">
        <f>COUNTIF(L$11:L$37,"Not applicable")</f>
        <v>5</v>
      </c>
      <c r="M44" s="114">
        <f>COUNTIF(M$11:M$37,"Not applicable")</f>
        <v>12</v>
      </c>
      <c r="N44" s="114">
        <f>COUNTIF(N$11:N$37,"Not applicable")</f>
        <v>12</v>
      </c>
      <c r="O44" s="114">
        <f>COUNTIF(O$11:O$37,"Not applicable")</f>
        <v>5</v>
      </c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</row>
    <row r="45" spans="1:32" ht="15" customHeight="1">
      <c r="A45" s="140"/>
      <c r="B45" s="140"/>
      <c r="C45" s="140"/>
      <c r="D45" s="140"/>
      <c r="E45" s="140"/>
      <c r="F45" s="140"/>
      <c r="G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</row>
  </sheetData>
  <customSheetViews>
    <customSheetView guid="{92268EB0-F2CF-4A6B-9BE7-5D77FA909AF8}" filter="1" showAutoFilter="1">
      <autoFilter ref="B2:AE29" xr:uid="{344FFD9E-BA22-4A09-BA91-EC07726B8B00}"/>
    </customSheetView>
  </customSheetViews>
  <mergeCells count="4">
    <mergeCell ref="A1:Q1"/>
    <mergeCell ref="A7:Q7"/>
    <mergeCell ref="A8:Q8"/>
    <mergeCell ref="A39:Q39"/>
  </mergeCells>
  <conditionalFormatting sqref="I11:P37">
    <cfRule type="expression" dxfId="69" priority="1">
      <formula>OR(ISNUMBER(SEARCH("blocked",I11)),ISNUMBER(SEARCH("overdue",I11)))</formula>
    </cfRule>
  </conditionalFormatting>
  <conditionalFormatting sqref="I11:P37">
    <cfRule type="expression" dxfId="68" priority="2">
      <formula>OR(ISNUMBER(SEARCH("waiting",I11)),ISNUMBER(SEARCH("client prepare",I11)),LEFT(LOWER(TRIM(I11)),3)="co ",ISNUMBER(SEARCH("unreconciled",I11)))</formula>
    </cfRule>
  </conditionalFormatting>
  <conditionalFormatting sqref="I11:P37">
    <cfRule type="expression" dxfId="67" priority="3">
      <formula>OR(ISNUMBER(SEARCH("review",I11)),ISNUMBER(SEARCH("ready to lodge",I11)),ISNUMBER(SEARCH("out to sign",I11)))</formula>
    </cfRule>
  </conditionalFormatting>
  <conditionalFormatting sqref="I11:P37">
    <cfRule type="expression" dxfId="66" priority="4">
      <formula>OR(ISNUMBER(SEARCH("progress",I11)),LOWER(TRIM(I11))="wip")</formula>
    </cfRule>
  </conditionalFormatting>
  <conditionalFormatting sqref="I11:P37">
    <cfRule type="expression" dxfId="65" priority="5">
      <formula>OR(LOWER(TRIM(I11))="done",LOWER(TRIM(I11))="complete",LOWER(TRIM(I11))="completed",LOWER(TRIM(I11))="lodged")</formula>
    </cfRule>
  </conditionalFormatting>
  <conditionalFormatting sqref="I11:P37">
    <cfRule type="expression" dxfId="64" priority="6">
      <formula>OR(LOWER(TRIM(I11))="n/a",LOWER(TRIM(I11))="na",LOWER(TRIM(I11))="n?a",LOWER(TRIM(I11))="not applicable")</formula>
    </cfRule>
  </conditionalFormatting>
  <conditionalFormatting sqref="I11:P37">
    <cfRule type="expression" dxfId="63" priority="7">
      <formula>OR(ISNUMBER(SEARCH("not started",I11)),ISNUMBER(SEARCH("unstarted",I11)),LOWER(TRIM(I11))="to do",LOWER(TRIM(I11))="not yet")</formula>
    </cfRule>
  </conditionalFormatting>
  <dataValidations count="3">
    <dataValidation type="list" allowBlank="1" showInputMessage="1" showErrorMessage="1" sqref="P23" xr:uid="{A2F0DFE8-4475-48B8-B31A-A2B964208BEA}">
      <formula1>"Not started,In progress,Waiting on client,For review,Ready to lodge,Done,Not applicable"</formula1>
    </dataValidation>
    <dataValidation type="list" allowBlank="1" showInputMessage="1" showErrorMessage="1" sqref="A11:A37" xr:uid="{00F81729-1335-4AA2-82B3-AF63A2C7061F}">
      <formula1>"P1 - Critical,P2 - Important,P3 - Routine"</formula1>
    </dataValidation>
    <dataValidation type="list" allowBlank="1" showInputMessage="1" showErrorMessage="1" sqref="I11:O37" xr:uid="{7FDA40CA-C2EE-41EF-A6E5-3B51241EC4F9}">
      <formula1>"Not started,In progress,Waiting on client,For review,Ready to lodge,Out to sign,Done,Not applicable"</formula1>
    </dataValidation>
  </dataValidations>
  <hyperlinks>
    <hyperlink ref="H20" r:id="rId1" xr:uid="{0794DF6C-D5FD-4E2E-A945-C049262894C3}"/>
  </hyperlinks>
  <pageMargins left="0.75" right="0.75" top="1" bottom="1" header="0" footer="0"/>
  <pageSetup orientation="landscape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"/>
  <sheetViews>
    <sheetView workbookViewId="0">
      <selection activeCell="A3" sqref="A3:A5"/>
    </sheetView>
  </sheetViews>
  <sheetFormatPr defaultColWidth="14.42578125" defaultRowHeight="15" customHeight="1"/>
  <cols>
    <col min="1" max="1" width="29.140625" customWidth="1"/>
    <col min="2" max="2" width="11.85546875" bestFit="1" customWidth="1"/>
    <col min="3" max="3" width="20.28515625" bestFit="1" customWidth="1"/>
    <col min="4" max="16" width="11.85546875" customWidth="1"/>
    <col min="17" max="26" width="8.7109375" customWidth="1"/>
  </cols>
  <sheetData>
    <row r="1" spans="1:16" ht="19.5" customHeight="1">
      <c r="A1" s="54" t="s">
        <v>50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 ht="38.25" customHeight="1">
      <c r="A2" s="10" t="s">
        <v>139</v>
      </c>
      <c r="B2" s="10" t="s">
        <v>308</v>
      </c>
      <c r="C2" s="10" t="s">
        <v>309</v>
      </c>
      <c r="D2" s="10" t="s">
        <v>310</v>
      </c>
      <c r="E2" s="11" t="s">
        <v>311</v>
      </c>
      <c r="F2" s="11" t="s">
        <v>312</v>
      </c>
      <c r="G2" s="11" t="s">
        <v>313</v>
      </c>
      <c r="H2" s="11" t="s">
        <v>314</v>
      </c>
      <c r="I2" s="11" t="s">
        <v>315</v>
      </c>
      <c r="J2" s="11" t="s">
        <v>316</v>
      </c>
      <c r="K2" s="11" t="s">
        <v>317</v>
      </c>
      <c r="L2" s="11" t="s">
        <v>318</v>
      </c>
      <c r="M2" s="11" t="s">
        <v>319</v>
      </c>
      <c r="N2" s="11" t="s">
        <v>320</v>
      </c>
      <c r="O2" s="11" t="s">
        <v>321</v>
      </c>
      <c r="P2" s="11" t="s">
        <v>322</v>
      </c>
    </row>
    <row r="3" spans="1:16" ht="38.25" customHeight="1">
      <c r="A3" s="96" t="s">
        <v>323</v>
      </c>
      <c r="B3" s="12" t="s">
        <v>324</v>
      </c>
      <c r="C3" s="123" t="s">
        <v>79</v>
      </c>
      <c r="D3" s="123" t="s">
        <v>325</v>
      </c>
      <c r="E3" s="123" t="s">
        <v>79</v>
      </c>
      <c r="F3" s="123" t="s">
        <v>99</v>
      </c>
      <c r="G3" s="124" t="s">
        <v>79</v>
      </c>
      <c r="H3" s="125" t="s">
        <v>79</v>
      </c>
      <c r="I3" s="124" t="s">
        <v>79</v>
      </c>
      <c r="J3" s="124" t="s">
        <v>79</v>
      </c>
      <c r="K3" s="124" t="s">
        <v>79</v>
      </c>
      <c r="L3" s="126" t="s">
        <v>99</v>
      </c>
      <c r="M3" s="126"/>
      <c r="N3" s="126"/>
      <c r="O3" s="126"/>
      <c r="P3" s="126"/>
    </row>
    <row r="4" spans="1:16" ht="38.25" customHeight="1">
      <c r="A4" s="96" t="s">
        <v>171</v>
      </c>
      <c r="B4" s="13" t="s">
        <v>326</v>
      </c>
      <c r="C4" s="127" t="s">
        <v>191</v>
      </c>
      <c r="D4" s="127" t="s">
        <v>99</v>
      </c>
      <c r="E4" s="127" t="s">
        <v>79</v>
      </c>
      <c r="F4" s="127" t="s">
        <v>99</v>
      </c>
      <c r="G4" s="124" t="s">
        <v>79</v>
      </c>
      <c r="H4" s="125" t="s">
        <v>79</v>
      </c>
      <c r="I4" s="124" t="s">
        <v>79</v>
      </c>
      <c r="J4" s="124" t="s">
        <v>79</v>
      </c>
      <c r="K4" s="124" t="s">
        <v>79</v>
      </c>
      <c r="L4" s="126" t="s">
        <v>99</v>
      </c>
      <c r="M4" s="126"/>
      <c r="N4" s="126"/>
      <c r="O4" s="126"/>
      <c r="P4" s="126"/>
    </row>
    <row r="5" spans="1:16" ht="38.25" customHeight="1">
      <c r="A5" s="96" t="s">
        <v>87</v>
      </c>
      <c r="B5" s="12" t="s">
        <v>327</v>
      </c>
      <c r="C5" s="123" t="s">
        <v>79</v>
      </c>
      <c r="D5" s="123" t="s">
        <v>328</v>
      </c>
      <c r="E5" s="123" t="s">
        <v>79</v>
      </c>
      <c r="F5" s="123" t="s">
        <v>329</v>
      </c>
      <c r="G5" s="124" t="s">
        <v>79</v>
      </c>
      <c r="H5" s="125" t="s">
        <v>79</v>
      </c>
      <c r="I5" s="124" t="s">
        <v>79</v>
      </c>
      <c r="J5" s="124" t="s">
        <v>79</v>
      </c>
      <c r="K5" s="124" t="s">
        <v>79</v>
      </c>
      <c r="L5" s="126" t="s">
        <v>103</v>
      </c>
      <c r="M5" s="126"/>
      <c r="N5" s="126"/>
      <c r="O5" s="126"/>
      <c r="P5" s="126"/>
    </row>
    <row r="6" spans="1:16" ht="38.25" customHeight="1">
      <c r="A6" s="96" t="s">
        <v>330</v>
      </c>
      <c r="B6" s="13" t="s">
        <v>331</v>
      </c>
      <c r="C6" s="127" t="s">
        <v>79</v>
      </c>
      <c r="D6" s="127" t="s">
        <v>332</v>
      </c>
      <c r="E6" s="127" t="s">
        <v>333</v>
      </c>
      <c r="F6" s="127" t="s">
        <v>79</v>
      </c>
      <c r="G6" s="124" t="s">
        <v>79</v>
      </c>
      <c r="H6" s="125" t="s">
        <v>79</v>
      </c>
      <c r="I6" s="124" t="s">
        <v>79</v>
      </c>
      <c r="J6" s="124" t="s">
        <v>79</v>
      </c>
      <c r="K6" s="124" t="s">
        <v>79</v>
      </c>
      <c r="L6" s="124" t="s">
        <v>79</v>
      </c>
      <c r="M6" s="126"/>
      <c r="N6" s="126"/>
      <c r="O6" s="126"/>
      <c r="P6" s="126"/>
    </row>
  </sheetData>
  <conditionalFormatting sqref="C3:P6">
    <cfRule type="expression" dxfId="53" priority="1">
      <formula>OR(ISNUMBER(SEARCH("blocked",C3)),ISNUMBER(SEARCH("overdue",C3)))</formula>
    </cfRule>
  </conditionalFormatting>
  <conditionalFormatting sqref="C3:P6">
    <cfRule type="expression" dxfId="52" priority="2">
      <formula>OR(ISNUMBER(SEARCH("waiting",C3)),ISNUMBER(SEARCH("client prepare",C3)),LEFT(LOWER(TRIM(C3)),3)="co ",ISNUMBER(SEARCH("unreconciled",C3)))</formula>
    </cfRule>
  </conditionalFormatting>
  <conditionalFormatting sqref="C3:P6">
    <cfRule type="expression" dxfId="51" priority="3">
      <formula>OR(ISNUMBER(SEARCH("review",C3)),ISNUMBER(SEARCH("ready to lodge",C3)),ISNUMBER(SEARCH("out to sign",C3)))</formula>
    </cfRule>
  </conditionalFormatting>
  <conditionalFormatting sqref="C3:P6">
    <cfRule type="expression" dxfId="50" priority="4">
      <formula>OR(ISNUMBER(SEARCH("progress",C3)),LOWER(TRIM(C3))="wip")</formula>
    </cfRule>
  </conditionalFormatting>
  <conditionalFormatting sqref="C3:P6">
    <cfRule type="expression" dxfId="49" priority="5">
      <formula>OR(LOWER(TRIM(C3))="done",LOWER(TRIM(C3))="complete",LOWER(TRIM(C3))="completed",LOWER(TRIM(C3))="lodged")</formula>
    </cfRule>
  </conditionalFormatting>
  <conditionalFormatting sqref="C3:P6">
    <cfRule type="expression" dxfId="48" priority="6">
      <formula>OR(ISNUMBER(SEARCH("not started",C3)),ISNUMBER(SEARCH("unstarted",C3)),LOWER(TRIM(C3))="to do",LOWER(TRIM(C3))="not yet",LOWER(TRIM(C3))="n/a",LOWER(TRIM(C3))="na",LOWER(TRIM(C3))="n?a",LOWER(TRIM(C3))="not applicable")</formula>
    </cfRule>
  </conditionalFormatting>
  <dataValidations count="2">
    <dataValidation type="list" allowBlank="1" showInputMessage="1" showErrorMessage="1" errorTitle="Select a valid status" error="Choose a status from the dropdown list." promptTitle="Monthly status" prompt="Select the current workflow status." sqref="M3:P6 C3:K6 L6" xr:uid="{3227D635-FC0F-420A-B7A0-3B2F2D530538}">
      <formula1>"Not yet started,In progress,For review,Done,N/A"</formula1>
    </dataValidation>
    <dataValidation type="list" allowBlank="1" showInputMessage="1" showErrorMessage="1" sqref="L3:L5" xr:uid="{AA651551-83AC-4881-9F7E-C7FD376BC966}">
      <formula1>"Not started,In progress,Waiting on client,For review,Ready to lodge,Done,Not applicable"</formula1>
    </dataValidation>
  </dataValidations>
  <hyperlinks>
    <hyperlink ref="A1" location="'📋 Dashboard'!A1" display="← Dashboard" xr:uid="{00000000-0004-0000-0700-000000000000}"/>
  </hyperlinks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6"/>
  <sheetViews>
    <sheetView showGridLines="0" workbookViewId="0">
      <pane xSplit="2" topLeftCell="C1" activePane="topRight" state="frozen"/>
      <selection pane="topRight" activeCell="T11" sqref="T11"/>
    </sheetView>
  </sheetViews>
  <sheetFormatPr defaultColWidth="14.42578125" defaultRowHeight="15" customHeight="1"/>
  <cols>
    <col min="1" max="1" width="28.140625" customWidth="1"/>
    <col min="2" max="2" width="45.7109375" customWidth="1"/>
    <col min="3" max="6" width="11.140625" customWidth="1"/>
    <col min="7" max="18" width="17.140625" hidden="1" customWidth="1"/>
    <col min="19" max="19" width="9.140625" bestFit="1" customWidth="1"/>
    <col min="20" max="20" width="9.28515625" bestFit="1" customWidth="1"/>
    <col min="21" max="21" width="10" bestFit="1" customWidth="1"/>
    <col min="22" max="22" width="11.140625" bestFit="1" customWidth="1"/>
    <col min="23" max="30" width="17.140625" customWidth="1"/>
    <col min="31" max="31" width="8.7109375" customWidth="1"/>
  </cols>
  <sheetData>
    <row r="1" spans="1:31" ht="32.25" customHeight="1">
      <c r="A1" s="164" t="s">
        <v>334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40"/>
    </row>
    <row r="2" spans="1:31" ht="27.75" customHeight="1">
      <c r="A2" s="165" t="s">
        <v>335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40"/>
    </row>
    <row r="3" spans="1:31" ht="59.25" customHeight="1">
      <c r="A3" s="61" t="s">
        <v>50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  <c r="O3" s="63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140"/>
    </row>
    <row r="4" spans="1:31" ht="30" customHeight="1">
      <c r="A4" s="64" t="s">
        <v>139</v>
      </c>
      <c r="B4" s="64" t="s">
        <v>130</v>
      </c>
      <c r="C4" s="64" t="s">
        <v>336</v>
      </c>
      <c r="D4" s="64" t="s">
        <v>337</v>
      </c>
      <c r="E4" s="64" t="s">
        <v>338</v>
      </c>
      <c r="F4" s="64" t="s">
        <v>339</v>
      </c>
      <c r="G4" s="65" t="s">
        <v>340</v>
      </c>
      <c r="H4" s="66" t="s">
        <v>341</v>
      </c>
      <c r="I4" s="65" t="s">
        <v>342</v>
      </c>
      <c r="J4" s="66" t="s">
        <v>343</v>
      </c>
      <c r="K4" s="67" t="s">
        <v>344</v>
      </c>
      <c r="L4" s="68" t="s">
        <v>345</v>
      </c>
      <c r="M4" s="65" t="s">
        <v>346</v>
      </c>
      <c r="N4" s="66" t="s">
        <v>347</v>
      </c>
      <c r="O4" s="65" t="s">
        <v>348</v>
      </c>
      <c r="P4" s="69" t="s">
        <v>349</v>
      </c>
      <c r="Q4" s="65" t="s">
        <v>350</v>
      </c>
      <c r="R4" s="66" t="s">
        <v>351</v>
      </c>
      <c r="S4" s="65" t="s">
        <v>352</v>
      </c>
      <c r="T4" s="66" t="s">
        <v>353</v>
      </c>
      <c r="U4" s="65" t="s">
        <v>354</v>
      </c>
      <c r="V4" s="66" t="s">
        <v>355</v>
      </c>
      <c r="W4" s="65" t="s">
        <v>356</v>
      </c>
      <c r="X4" s="66" t="s">
        <v>357</v>
      </c>
      <c r="Y4" s="65" t="s">
        <v>358</v>
      </c>
      <c r="Z4" s="66" t="s">
        <v>359</v>
      </c>
      <c r="AA4" s="65" t="s">
        <v>360</v>
      </c>
      <c r="AB4" s="66" t="s">
        <v>361</v>
      </c>
      <c r="AC4" s="65" t="s">
        <v>362</v>
      </c>
      <c r="AD4" s="66" t="s">
        <v>363</v>
      </c>
      <c r="AE4" s="140"/>
    </row>
    <row r="5" spans="1:31" ht="47.25">
      <c r="A5" s="97" t="s">
        <v>277</v>
      </c>
      <c r="B5" s="70" t="s">
        <v>364</v>
      </c>
      <c r="C5" s="71" t="s">
        <v>327</v>
      </c>
      <c r="D5" s="71" t="s">
        <v>19</v>
      </c>
      <c r="E5" s="71" t="s">
        <v>31</v>
      </c>
      <c r="F5" s="72" t="s">
        <v>365</v>
      </c>
      <c r="G5" s="73" t="s">
        <v>366</v>
      </c>
      <c r="H5" s="74" t="s">
        <v>79</v>
      </c>
      <c r="I5" s="73" t="s">
        <v>79</v>
      </c>
      <c r="J5" s="74" t="s">
        <v>79</v>
      </c>
      <c r="K5" s="73" t="s">
        <v>79</v>
      </c>
      <c r="L5" s="75" t="s">
        <v>367</v>
      </c>
      <c r="M5" s="106" t="s">
        <v>79</v>
      </c>
      <c r="N5" s="101" t="s">
        <v>368</v>
      </c>
      <c r="O5" s="102" t="s">
        <v>369</v>
      </c>
      <c r="P5" s="101" t="s">
        <v>79</v>
      </c>
      <c r="Q5" s="102" t="s">
        <v>79</v>
      </c>
      <c r="R5" s="90" t="s">
        <v>79</v>
      </c>
      <c r="S5" s="101" t="s">
        <v>79</v>
      </c>
      <c r="T5" s="101" t="s">
        <v>79</v>
      </c>
      <c r="U5" s="101" t="s">
        <v>79</v>
      </c>
      <c r="V5" s="101" t="s">
        <v>79</v>
      </c>
      <c r="W5" s="102"/>
      <c r="X5" s="101"/>
      <c r="Y5" s="102"/>
      <c r="Z5" s="101"/>
      <c r="AA5" s="102"/>
      <c r="AB5" s="101"/>
      <c r="AC5" s="102"/>
      <c r="AD5" s="101"/>
      <c r="AE5" s="36"/>
    </row>
    <row r="6" spans="1:31">
      <c r="A6" s="167" t="s">
        <v>84</v>
      </c>
      <c r="B6" s="169" t="s">
        <v>370</v>
      </c>
      <c r="C6" s="76" t="s">
        <v>327</v>
      </c>
      <c r="D6" s="76" t="s">
        <v>19</v>
      </c>
      <c r="E6" s="76" t="s">
        <v>31</v>
      </c>
      <c r="F6" s="72" t="s">
        <v>365</v>
      </c>
      <c r="G6" s="73" t="s">
        <v>79</v>
      </c>
      <c r="H6" s="74" t="s">
        <v>79</v>
      </c>
      <c r="I6" s="73" t="s">
        <v>79</v>
      </c>
      <c r="J6" s="74" t="s">
        <v>79</v>
      </c>
      <c r="K6" s="77">
        <v>46092</v>
      </c>
      <c r="L6" s="78" t="s">
        <v>79</v>
      </c>
      <c r="M6" s="106" t="s">
        <v>79</v>
      </c>
      <c r="N6" s="103">
        <v>46178</v>
      </c>
      <c r="O6" s="102" t="s">
        <v>79</v>
      </c>
      <c r="P6" s="101" t="s">
        <v>79</v>
      </c>
      <c r="Q6" s="102" t="s">
        <v>79</v>
      </c>
      <c r="R6" s="171" t="s">
        <v>79</v>
      </c>
      <c r="S6" s="173" t="s">
        <v>79</v>
      </c>
      <c r="T6" s="173" t="s">
        <v>79</v>
      </c>
      <c r="U6" s="173" t="s">
        <v>79</v>
      </c>
      <c r="V6" s="173" t="s">
        <v>79</v>
      </c>
      <c r="W6" s="173"/>
      <c r="X6" s="173"/>
      <c r="Y6" s="173"/>
      <c r="Z6" s="173"/>
      <c r="AA6" s="173"/>
      <c r="AB6" s="173"/>
      <c r="AC6" s="173"/>
      <c r="AD6" s="173"/>
      <c r="AE6" s="36"/>
    </row>
    <row r="7" spans="1:31" ht="15" customHeight="1">
      <c r="A7" s="168"/>
      <c r="B7" s="170"/>
      <c r="C7" s="76"/>
      <c r="D7" s="76"/>
      <c r="E7" s="76"/>
      <c r="F7" s="72"/>
      <c r="G7" s="73"/>
      <c r="H7" s="74"/>
      <c r="I7" s="73"/>
      <c r="J7" s="74"/>
      <c r="K7" s="79" t="s">
        <v>79</v>
      </c>
      <c r="L7" s="78" t="s">
        <v>371</v>
      </c>
      <c r="M7" s="106" t="s">
        <v>79</v>
      </c>
      <c r="N7" s="101"/>
      <c r="O7" s="104"/>
      <c r="P7" s="105"/>
      <c r="Q7" s="104"/>
      <c r="R7" s="172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36"/>
    </row>
    <row r="8" spans="1:31" ht="23.25">
      <c r="A8" s="98" t="s">
        <v>88</v>
      </c>
      <c r="B8" s="80" t="s">
        <v>372</v>
      </c>
      <c r="C8" s="76" t="s">
        <v>327</v>
      </c>
      <c r="D8" s="76" t="s">
        <v>19</v>
      </c>
      <c r="E8" s="76" t="s">
        <v>31</v>
      </c>
      <c r="F8" s="72" t="s">
        <v>365</v>
      </c>
      <c r="G8" s="73" t="s">
        <v>79</v>
      </c>
      <c r="H8" s="74" t="s">
        <v>79</v>
      </c>
      <c r="I8" s="73" t="s">
        <v>79</v>
      </c>
      <c r="J8" s="74" t="s">
        <v>79</v>
      </c>
      <c r="K8" s="73" t="s">
        <v>79</v>
      </c>
      <c r="L8" s="75" t="s">
        <v>367</v>
      </c>
      <c r="M8" s="106" t="s">
        <v>79</v>
      </c>
      <c r="N8" s="101" t="s">
        <v>373</v>
      </c>
      <c r="O8" s="102" t="s">
        <v>374</v>
      </c>
      <c r="P8" s="101" t="s">
        <v>79</v>
      </c>
      <c r="Q8" s="102" t="s">
        <v>79</v>
      </c>
      <c r="R8" s="90" t="s">
        <v>79</v>
      </c>
      <c r="S8" s="101" t="s">
        <v>79</v>
      </c>
      <c r="T8" s="101" t="s">
        <v>79</v>
      </c>
      <c r="U8" s="101" t="s">
        <v>79</v>
      </c>
      <c r="V8" s="101" t="s">
        <v>79</v>
      </c>
      <c r="W8" s="102"/>
      <c r="X8" s="101"/>
      <c r="Y8" s="102"/>
      <c r="Z8" s="101"/>
      <c r="AA8" s="102"/>
      <c r="AB8" s="101"/>
      <c r="AC8" s="102"/>
      <c r="AD8" s="101"/>
      <c r="AE8" s="36"/>
    </row>
    <row r="9" spans="1:31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140"/>
    </row>
    <row r="10" spans="1:31" ht="21.75" customHeight="1">
      <c r="A10" s="166" t="s">
        <v>375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40"/>
    </row>
    <row r="11" spans="1:31" ht="21.75" customHeight="1">
      <c r="A11" s="82" t="s">
        <v>103</v>
      </c>
      <c r="B11" s="140"/>
      <c r="C11" s="140"/>
      <c r="D11" s="140"/>
      <c r="E11" s="140"/>
      <c r="F11" s="140"/>
      <c r="G11" s="88" t="s">
        <v>176</v>
      </c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140"/>
    </row>
    <row r="12" spans="1:31" ht="15" customHeight="1">
      <c r="A12" s="83" t="s">
        <v>99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</row>
    <row r="13" spans="1:31" ht="15" customHeight="1">
      <c r="A13" s="84" t="s">
        <v>191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</row>
    <row r="14" spans="1:31" ht="15" customHeight="1">
      <c r="A14" s="85" t="s">
        <v>275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</row>
    <row r="15" spans="1:31" ht="15" customHeight="1">
      <c r="A15" s="86" t="s">
        <v>192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</row>
    <row r="16" spans="1:31" ht="15" customHeight="1">
      <c r="A16" s="87" t="s">
        <v>79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</row>
  </sheetData>
  <mergeCells count="18">
    <mergeCell ref="AC6:AC7"/>
    <mergeCell ref="AD6:AD7"/>
    <mergeCell ref="A1:AD1"/>
    <mergeCell ref="A2:AD2"/>
    <mergeCell ref="A10:AD10"/>
    <mergeCell ref="A6:A7"/>
    <mergeCell ref="B6:B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</mergeCells>
  <conditionalFormatting sqref="G5:AD8">
    <cfRule type="expression" dxfId="31" priority="1">
      <formula>OR(ISNUMBER(SEARCH("blocked",G5)),ISNUMBER(SEARCH("overdue",G5)))</formula>
    </cfRule>
  </conditionalFormatting>
  <conditionalFormatting sqref="G5:AD8">
    <cfRule type="expression" dxfId="30" priority="2">
      <formula>OR(ISNUMBER(SEARCH("waiting",G5)),ISNUMBER(SEARCH("client prepare",G5)),LEFT(LOWER(TRIM(G5)),3)="co ",ISNUMBER(SEARCH("unreconciled",G5)))</formula>
    </cfRule>
  </conditionalFormatting>
  <conditionalFormatting sqref="G5:AD8">
    <cfRule type="expression" dxfId="29" priority="3">
      <formula>OR(ISNUMBER(SEARCH("review",G5)),ISNUMBER(SEARCH("ready to lodge",G5)),ISNUMBER(SEARCH("out to sign",G5)))</formula>
    </cfRule>
  </conditionalFormatting>
  <conditionalFormatting sqref="G5:AD8">
    <cfRule type="expression" dxfId="28" priority="4">
      <formula>OR(ISNUMBER(SEARCH("progress",G5)),LOWER(TRIM(G5))="wip")</formula>
    </cfRule>
  </conditionalFormatting>
  <conditionalFormatting sqref="G5:AD8">
    <cfRule type="expression" dxfId="27" priority="5">
      <formula>OR(LOWER(TRIM(G5))="done",LOWER(TRIM(G5))="complete",LOWER(TRIM(G5))="completed",LOWER(TRIM(G5))="lodged")</formula>
    </cfRule>
  </conditionalFormatting>
  <conditionalFormatting sqref="G5:AD8">
    <cfRule type="expression" dxfId="26" priority="6">
      <formula>OR(ISNUMBER(SEARCH("not started",G5)),ISNUMBER(SEARCH("unstarted",G5)),LOWER(TRIM(G5))="to do",LOWER(TRIM(G5))="not yet",LOWER(TRIM(G5))="n/a",LOWER(TRIM(G5))="na",LOWER(TRIM(G5))="n?a",LOWER(TRIM(G5))="not applicable")</formula>
    </cfRule>
  </conditionalFormatting>
  <dataValidations count="1">
    <dataValidation type="list" allowBlank="1" showInputMessage="1" errorTitle="Custom entry allowed" error="Dates and detailed notes are permitted." promptTitle="Payment run status" prompt="Choose a status, or type a date / detailed note when needed." sqref="G8:AD8 G5:AD6" xr:uid="{E3F27309-847C-49D6-B825-21467895E177}">
      <formula1>"Not started,In progress,For review,Waiting on client,Blocked,Done,N/A"</formula1>
    </dataValidation>
  </dataValidations>
  <hyperlinks>
    <hyperlink ref="A3" location="'📋 Dashboard'!A1" display="← Dashboard" xr:uid="{00000000-0004-0000-0800-000000000000}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"/>
  <sheetViews>
    <sheetView showGridLines="0" workbookViewId="0">
      <pane xSplit="2" ySplit="1" topLeftCell="C2" activePane="bottomRight" state="frozen"/>
      <selection pane="bottomRight" activeCell="P5" sqref="P5"/>
      <selection pane="bottomLeft" activeCell="A2" sqref="A2"/>
      <selection pane="topRight" activeCell="C1" sqref="C1"/>
    </sheetView>
  </sheetViews>
  <sheetFormatPr defaultColWidth="14.42578125" defaultRowHeight="15" customHeight="1"/>
  <cols>
    <col min="1" max="1" width="25.85546875" customWidth="1"/>
    <col min="2" max="2" width="18.85546875" customWidth="1"/>
    <col min="3" max="3" width="27.7109375" customWidth="1"/>
    <col min="4" max="4" width="25.140625" customWidth="1"/>
    <col min="5" max="16" width="10.28515625" customWidth="1"/>
    <col min="17" max="26" width="8.7109375" customWidth="1"/>
  </cols>
  <sheetData>
    <row r="1" spans="1:17" ht="19.5" customHeight="1">
      <c r="A1" s="60" t="s">
        <v>50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40"/>
    </row>
    <row r="2" spans="1:17" ht="36" customHeight="1">
      <c r="A2" s="10" t="s">
        <v>139</v>
      </c>
      <c r="B2" s="10" t="s">
        <v>376</v>
      </c>
      <c r="C2" s="10" t="s">
        <v>377</v>
      </c>
      <c r="D2" s="10" t="s">
        <v>378</v>
      </c>
      <c r="E2" s="11" t="s">
        <v>311</v>
      </c>
      <c r="F2" s="11" t="s">
        <v>312</v>
      </c>
      <c r="G2" s="11" t="s">
        <v>313</v>
      </c>
      <c r="H2" s="11" t="s">
        <v>314</v>
      </c>
      <c r="I2" s="11" t="s">
        <v>315</v>
      </c>
      <c r="J2" s="11" t="s">
        <v>316</v>
      </c>
      <c r="K2" s="11" t="s">
        <v>317</v>
      </c>
      <c r="L2" s="11" t="s">
        <v>318</v>
      </c>
      <c r="M2" s="11" t="s">
        <v>319</v>
      </c>
      <c r="N2" s="11" t="s">
        <v>320</v>
      </c>
      <c r="O2" s="11" t="s">
        <v>321</v>
      </c>
      <c r="P2" s="11" t="s">
        <v>322</v>
      </c>
      <c r="Q2" s="36"/>
    </row>
    <row r="3" spans="1:17" ht="36" customHeight="1">
      <c r="A3" s="58" t="s">
        <v>379</v>
      </c>
      <c r="B3" s="59" t="s">
        <v>380</v>
      </c>
      <c r="C3" s="59" t="s">
        <v>381</v>
      </c>
      <c r="D3" s="59" t="s">
        <v>382</v>
      </c>
      <c r="E3" s="59" t="s">
        <v>79</v>
      </c>
      <c r="F3" s="59" t="s">
        <v>79</v>
      </c>
      <c r="G3" s="59" t="s">
        <v>79</v>
      </c>
      <c r="H3" s="59" t="s">
        <v>79</v>
      </c>
      <c r="I3" s="59" t="s">
        <v>79</v>
      </c>
      <c r="J3" s="59" t="s">
        <v>79</v>
      </c>
      <c r="K3" s="59" t="s">
        <v>79</v>
      </c>
      <c r="L3" s="59" t="s">
        <v>79</v>
      </c>
      <c r="M3" s="59"/>
      <c r="N3" s="59"/>
      <c r="O3" s="59"/>
      <c r="P3" s="59"/>
      <c r="Q3" s="36"/>
    </row>
    <row r="4" spans="1:17" ht="36" customHeight="1">
      <c r="A4" s="58" t="s">
        <v>383</v>
      </c>
      <c r="B4" s="59" t="s">
        <v>384</v>
      </c>
      <c r="C4" s="59" t="s">
        <v>381</v>
      </c>
      <c r="D4" s="59" t="s">
        <v>382</v>
      </c>
      <c r="E4" s="59" t="s">
        <v>79</v>
      </c>
      <c r="F4" s="59" t="s">
        <v>79</v>
      </c>
      <c r="G4" s="59" t="s">
        <v>79</v>
      </c>
      <c r="H4" s="59" t="s">
        <v>385</v>
      </c>
      <c r="I4" s="59" t="s">
        <v>79</v>
      </c>
      <c r="J4" s="59" t="s">
        <v>79</v>
      </c>
      <c r="K4" s="59" t="s">
        <v>79</v>
      </c>
      <c r="L4" s="59" t="s">
        <v>79</v>
      </c>
      <c r="M4" s="59"/>
      <c r="N4" s="59"/>
      <c r="O4" s="59"/>
      <c r="P4" s="59"/>
      <c r="Q4" s="36"/>
    </row>
    <row r="5" spans="1:17" ht="36" customHeight="1">
      <c r="A5" s="58" t="s">
        <v>386</v>
      </c>
      <c r="B5" s="59"/>
      <c r="C5" s="59" t="s">
        <v>381</v>
      </c>
      <c r="D5" s="59" t="s">
        <v>382</v>
      </c>
      <c r="E5" s="59" t="s">
        <v>79</v>
      </c>
      <c r="F5" s="59" t="s">
        <v>79</v>
      </c>
      <c r="G5" s="59" t="s">
        <v>79</v>
      </c>
      <c r="H5" s="59" t="s">
        <v>79</v>
      </c>
      <c r="I5" s="59" t="s">
        <v>79</v>
      </c>
      <c r="J5" s="59" t="s">
        <v>79</v>
      </c>
      <c r="K5" s="59" t="s">
        <v>79</v>
      </c>
      <c r="L5" s="59" t="s">
        <v>79</v>
      </c>
      <c r="M5" s="59"/>
      <c r="N5" s="59"/>
      <c r="O5" s="59"/>
      <c r="P5" s="59"/>
      <c r="Q5" s="36"/>
    </row>
    <row r="6" spans="1:17" ht="1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140"/>
    </row>
    <row r="7" spans="1:17" ht="15" customHeight="1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</row>
  </sheetData>
  <conditionalFormatting sqref="E3:P5">
    <cfRule type="expression" dxfId="25" priority="1">
      <formula>OR(ISNUMBER(SEARCH("blocked",E3)),ISNUMBER(SEARCH("overdue",E3)))</formula>
    </cfRule>
  </conditionalFormatting>
  <conditionalFormatting sqref="E3:P5">
    <cfRule type="expression" dxfId="24" priority="2">
      <formula>OR(ISNUMBER(SEARCH("waiting",E3)),ISNUMBER(SEARCH("client prepare",E3)),LEFT(LOWER(TRIM(E3)),3)="co ",ISNUMBER(SEARCH("unreconciled",E3)))</formula>
    </cfRule>
  </conditionalFormatting>
  <conditionalFormatting sqref="E3:P5">
    <cfRule type="expression" dxfId="23" priority="3">
      <formula>OR(ISNUMBER(SEARCH("review",E3)),ISNUMBER(SEARCH("ready to lodge",E3)),ISNUMBER(SEARCH("out to sign",E3)))</formula>
    </cfRule>
  </conditionalFormatting>
  <conditionalFormatting sqref="E3:P5">
    <cfRule type="expression" dxfId="22" priority="4">
      <formula>OR(ISNUMBER(SEARCH("progress",E3)),LOWER(TRIM(E3))="wip")</formula>
    </cfRule>
  </conditionalFormatting>
  <conditionalFormatting sqref="E3:P5">
    <cfRule type="expression" dxfId="21" priority="5">
      <formula>OR(LOWER(TRIM(E3))="done",LOWER(TRIM(E3))="complete",LOWER(TRIM(E3))="completed",LOWER(TRIM(E3))="lodged")</formula>
    </cfRule>
  </conditionalFormatting>
  <conditionalFormatting sqref="E3:P5">
    <cfRule type="expression" dxfId="20" priority="6">
      <formula>OR(ISNUMBER(SEARCH("not started",E3)),ISNUMBER(SEARCH("unstarted",E3)),LOWER(TRIM(E3))="to do",LOWER(TRIM(E3))="not yet",LOWER(TRIM(E3))="n/a",LOWER(TRIM(E3))="na",LOWER(TRIM(E3))="n?a",LOWER(TRIM(E3))="not applicable")</formula>
    </cfRule>
  </conditionalFormatting>
  <dataValidations count="1">
    <dataValidation type="list" allowBlank="1" showInputMessage="1" showErrorMessage="1" errorTitle="Select a valid status" error="Choose a status from the dropdown list." promptTitle="Monthly status" prompt="Select the current workflow status." sqref="E3:P5" xr:uid="{97BC99C0-142A-4053-9E8B-7F22B889A681}">
      <formula1>"Not yet started,In progress,For review,Done,N/A"</formula1>
    </dataValidation>
  </dataValidations>
  <hyperlinks>
    <hyperlink ref="A1" location="'📋 Dashboard'!A1" display="← Dashboard" xr:uid="{00000000-0004-0000-0A00-000000000000}"/>
  </hyperlinks>
  <pageMargins left="0.75" right="0.75" top="1" bottom="1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X6"/>
  <sheetViews>
    <sheetView showGridLines="0" workbookViewId="0">
      <pane xSplit="2" ySplit="1" topLeftCell="AA2" activePane="bottomRight" state="frozen"/>
      <selection pane="bottomRight" activeCell="B2" sqref="B2"/>
      <selection pane="bottomLeft" activeCell="A2" sqref="A2"/>
      <selection pane="topRight" activeCell="C1" sqref="C1"/>
    </sheetView>
  </sheetViews>
  <sheetFormatPr defaultColWidth="14.42578125" defaultRowHeight="15" customHeight="1"/>
  <cols>
    <col min="1" max="1" width="22" customWidth="1"/>
    <col min="2" max="2" width="30" customWidth="1"/>
    <col min="3" max="17" width="9.7109375" hidden="1" customWidth="1"/>
    <col min="18" max="18" width="11.42578125" hidden="1" customWidth="1"/>
    <col min="19" max="22" width="10" hidden="1" customWidth="1"/>
    <col min="23" max="26" width="9.7109375" hidden="1" customWidth="1"/>
    <col min="27" max="30" width="8.7109375" customWidth="1"/>
    <col min="31" max="34" width="10" customWidth="1"/>
    <col min="35" max="38" width="9.85546875" customWidth="1"/>
    <col min="39" max="42" width="9.5703125" customWidth="1"/>
    <col min="43" max="46" width="10" customWidth="1"/>
    <col min="47" max="50" width="9.85546875" customWidth="1"/>
  </cols>
  <sheetData>
    <row r="1" spans="1:50" ht="19.5" customHeight="1">
      <c r="A1" s="54" t="s">
        <v>50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</row>
    <row r="2" spans="1:50" ht="36" customHeight="1">
      <c r="A2" s="17" t="s">
        <v>139</v>
      </c>
      <c r="B2" s="18" t="s">
        <v>130</v>
      </c>
      <c r="C2" s="19" t="s">
        <v>387</v>
      </c>
      <c r="D2" s="19" t="s">
        <v>388</v>
      </c>
      <c r="E2" s="19" t="s">
        <v>389</v>
      </c>
      <c r="F2" s="19" t="s">
        <v>390</v>
      </c>
      <c r="G2" s="19" t="s">
        <v>391</v>
      </c>
      <c r="H2" s="19" t="s">
        <v>392</v>
      </c>
      <c r="I2" s="19" t="s">
        <v>393</v>
      </c>
      <c r="J2" s="19" t="s">
        <v>394</v>
      </c>
      <c r="K2" s="19" t="s">
        <v>395</v>
      </c>
      <c r="L2" s="19" t="s">
        <v>396</v>
      </c>
      <c r="M2" s="19" t="s">
        <v>397</v>
      </c>
      <c r="N2" s="19" t="s">
        <v>398</v>
      </c>
      <c r="O2" s="19" t="s">
        <v>399</v>
      </c>
      <c r="P2" s="19" t="s">
        <v>400</v>
      </c>
      <c r="Q2" s="19" t="s">
        <v>401</v>
      </c>
      <c r="R2" s="19" t="s">
        <v>402</v>
      </c>
      <c r="S2" s="19" t="s">
        <v>403</v>
      </c>
      <c r="T2" s="19" t="s">
        <v>404</v>
      </c>
      <c r="U2" s="19" t="s">
        <v>405</v>
      </c>
      <c r="V2" s="19" t="s">
        <v>406</v>
      </c>
      <c r="W2" s="19" t="s">
        <v>407</v>
      </c>
      <c r="X2" s="19" t="s">
        <v>408</v>
      </c>
      <c r="Y2" s="19" t="s">
        <v>409</v>
      </c>
      <c r="Z2" s="19" t="s">
        <v>410</v>
      </c>
      <c r="AA2" s="19" t="s">
        <v>411</v>
      </c>
      <c r="AB2" s="19" t="s">
        <v>412</v>
      </c>
      <c r="AC2" s="19" t="s">
        <v>413</v>
      </c>
      <c r="AD2" s="19" t="s">
        <v>414</v>
      </c>
      <c r="AE2" s="19" t="s">
        <v>415</v>
      </c>
      <c r="AF2" s="19" t="s">
        <v>416</v>
      </c>
      <c r="AG2" s="19" t="s">
        <v>417</v>
      </c>
      <c r="AH2" s="19" t="s">
        <v>418</v>
      </c>
      <c r="AI2" s="19" t="s">
        <v>419</v>
      </c>
      <c r="AJ2" s="19" t="s">
        <v>420</v>
      </c>
      <c r="AK2" s="19" t="s">
        <v>421</v>
      </c>
      <c r="AL2" s="19" t="s">
        <v>422</v>
      </c>
      <c r="AM2" s="19" t="s">
        <v>423</v>
      </c>
      <c r="AN2" s="19" t="s">
        <v>424</v>
      </c>
      <c r="AO2" s="19" t="s">
        <v>425</v>
      </c>
      <c r="AP2" s="19" t="s">
        <v>426</v>
      </c>
      <c r="AQ2" s="19" t="s">
        <v>427</v>
      </c>
      <c r="AR2" s="19" t="s">
        <v>428</v>
      </c>
      <c r="AS2" s="19" t="s">
        <v>429</v>
      </c>
      <c r="AT2" s="19" t="s">
        <v>430</v>
      </c>
      <c r="AU2" s="19" t="s">
        <v>431</v>
      </c>
      <c r="AV2" s="19" t="s">
        <v>432</v>
      </c>
      <c r="AW2" s="19" t="s">
        <v>433</v>
      </c>
      <c r="AX2" s="19" t="s">
        <v>434</v>
      </c>
    </row>
    <row r="3" spans="1:50">
      <c r="A3" s="20" t="s">
        <v>435</v>
      </c>
      <c r="B3" s="21" t="s">
        <v>436</v>
      </c>
      <c r="C3" s="22" t="s">
        <v>79</v>
      </c>
      <c r="D3" s="22" t="s">
        <v>79</v>
      </c>
      <c r="E3" s="22" t="s">
        <v>79</v>
      </c>
      <c r="F3" s="22" t="s">
        <v>79</v>
      </c>
      <c r="G3" s="22" t="s">
        <v>79</v>
      </c>
      <c r="H3" s="22" t="s">
        <v>79</v>
      </c>
      <c r="I3" s="22" t="s">
        <v>79</v>
      </c>
      <c r="J3" s="22" t="s">
        <v>79</v>
      </c>
      <c r="K3" s="22" t="s">
        <v>79</v>
      </c>
      <c r="L3" s="22" t="s">
        <v>79</v>
      </c>
      <c r="M3" s="22" t="s">
        <v>79</v>
      </c>
      <c r="N3" s="22" t="s">
        <v>79</v>
      </c>
      <c r="O3" s="22" t="s">
        <v>79</v>
      </c>
      <c r="P3" s="22" t="s">
        <v>79</v>
      </c>
      <c r="Q3" s="22" t="s">
        <v>79</v>
      </c>
      <c r="R3" s="22" t="s">
        <v>79</v>
      </c>
      <c r="S3" s="22" t="s">
        <v>79</v>
      </c>
      <c r="T3" s="22" t="s">
        <v>79</v>
      </c>
      <c r="U3" s="22" t="s">
        <v>79</v>
      </c>
      <c r="V3" s="22" t="s">
        <v>79</v>
      </c>
      <c r="W3" s="22" t="s">
        <v>79</v>
      </c>
      <c r="X3" s="22" t="s">
        <v>79</v>
      </c>
      <c r="Y3" s="22" t="s">
        <v>79</v>
      </c>
      <c r="Z3" s="22" t="s">
        <v>79</v>
      </c>
      <c r="AA3" s="22" t="s">
        <v>79</v>
      </c>
      <c r="AB3" s="22" t="s">
        <v>79</v>
      </c>
      <c r="AC3" s="22" t="s">
        <v>79</v>
      </c>
      <c r="AD3" s="22" t="s">
        <v>79</v>
      </c>
      <c r="AE3" s="22" t="s">
        <v>79</v>
      </c>
      <c r="AF3" s="22" t="s">
        <v>79</v>
      </c>
      <c r="AG3" s="22" t="s">
        <v>79</v>
      </c>
      <c r="AH3" s="22" t="s">
        <v>79</v>
      </c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</row>
    <row r="4" spans="1:50" ht="36" customHeight="1">
      <c r="A4" s="23" t="s">
        <v>437</v>
      </c>
      <c r="B4" s="24" t="s">
        <v>438</v>
      </c>
      <c r="C4" s="25" t="s">
        <v>79</v>
      </c>
      <c r="D4" s="25" t="s">
        <v>176</v>
      </c>
      <c r="E4" s="25" t="s">
        <v>176</v>
      </c>
      <c r="F4" s="25" t="s">
        <v>176</v>
      </c>
      <c r="G4" s="25" t="s">
        <v>176</v>
      </c>
      <c r="H4" s="25" t="s">
        <v>176</v>
      </c>
      <c r="I4" s="25" t="s">
        <v>176</v>
      </c>
      <c r="J4" s="25" t="s">
        <v>176</v>
      </c>
      <c r="K4" s="25" t="s">
        <v>176</v>
      </c>
      <c r="L4" s="25" t="s">
        <v>176</v>
      </c>
      <c r="M4" s="25" t="s">
        <v>176</v>
      </c>
      <c r="N4" s="26" t="s">
        <v>79</v>
      </c>
      <c r="O4" s="175" t="s">
        <v>176</v>
      </c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26" t="s">
        <v>439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 t="s">
        <v>134</v>
      </c>
      <c r="AM4" s="25" t="s">
        <v>134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</row>
    <row r="5" spans="1:50" ht="15" customHeight="1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</row>
    <row r="6" spans="1:50" ht="15" customHeight="1">
      <c r="A6" s="140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</row>
  </sheetData>
  <mergeCells count="1">
    <mergeCell ref="O4:Y4"/>
  </mergeCells>
  <conditionalFormatting sqref="C2:AX4">
    <cfRule type="expression" dxfId="5" priority="1">
      <formula>OR(ISNUMBER(SEARCH("blocked",C2)),ISNUMBER(SEARCH("overdue",C2)))</formula>
    </cfRule>
  </conditionalFormatting>
  <conditionalFormatting sqref="C2:AX4">
    <cfRule type="expression" dxfId="4" priority="2">
      <formula>OR(ISNUMBER(SEARCH("waiting",C2)),ISNUMBER(SEARCH("client prepare",C2)),LEFT(LOWER(TRIM(C2)),3)="co ",ISNUMBER(SEARCH("unreconciled",C2)))</formula>
    </cfRule>
  </conditionalFormatting>
  <conditionalFormatting sqref="C2:AX4">
    <cfRule type="expression" dxfId="3" priority="3">
      <formula>OR(ISNUMBER(SEARCH("review",C2)),ISNUMBER(SEARCH("ready to lodge",C2)),ISNUMBER(SEARCH("out to sign",C2)))</formula>
    </cfRule>
  </conditionalFormatting>
  <conditionalFormatting sqref="C2:AX4">
    <cfRule type="expression" dxfId="2" priority="4">
      <formula>OR(ISNUMBER(SEARCH("progress",C2)),LOWER(TRIM(C2))="wip")</formula>
    </cfRule>
  </conditionalFormatting>
  <conditionalFormatting sqref="C2:AX4">
    <cfRule type="expression" dxfId="1" priority="5">
      <formula>OR(LOWER(TRIM(C2))="done",LOWER(TRIM(C2))="complete",LOWER(TRIM(C2))="completed",LOWER(TRIM(C2))="lodged")</formula>
    </cfRule>
  </conditionalFormatting>
  <conditionalFormatting sqref="C2:AX4">
    <cfRule type="expression" dxfId="0" priority="6">
      <formula>OR(ISNUMBER(SEARCH("not started",C2)),ISNUMBER(SEARCH("unstarted",C2)),LOWER(TRIM(C2))="to do",LOWER(TRIM(C2))="not yet",LOWER(TRIM(C2))="n/a",LOWER(TRIM(C2))="na",LOWER(TRIM(C2))="n?a",LOWER(TRIM(C2))="not applicable")</formula>
    </cfRule>
  </conditionalFormatting>
  <dataValidations count="1">
    <dataValidation type="list" allowBlank="1" showInputMessage="1" showErrorMessage="1" sqref="AE4:AH4" xr:uid="{934FB7CE-7ECE-4AE7-9D58-87D7457AD4BB}">
      <formula1>"Not started,In progress,Waiting on client,For review,Ready to lodge,Done,Not applicable"</formula1>
    </dataValidation>
  </dataValidations>
  <hyperlinks>
    <hyperlink ref="A1" location="'📋 Dashboard'!A1" display="← Dashboard" xr:uid="{00000000-0004-0000-0B00-000000000000}"/>
  </hyperlink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60"/>
  <sheetViews>
    <sheetView showGridLines="0" workbookViewId="0">
      <pane xSplit="1" ySplit="1" topLeftCell="B2" activePane="bottomRight" state="frozen"/>
      <selection pane="bottomRight" activeCell="B2" sqref="B2"/>
      <selection pane="bottomLeft" activeCell="A2" sqref="A2"/>
      <selection pane="topRight" activeCell="B1" sqref="B1"/>
    </sheetView>
  </sheetViews>
  <sheetFormatPr defaultColWidth="14.42578125" defaultRowHeight="15" customHeight="1"/>
  <cols>
    <col min="1" max="1" width="28" customWidth="1"/>
    <col min="2" max="2" width="8" customWidth="1"/>
    <col min="3" max="3" width="10" customWidth="1"/>
    <col min="4" max="4" width="12" customWidth="1"/>
    <col min="5" max="5" width="8" customWidth="1"/>
    <col min="6" max="6" width="10" customWidth="1"/>
    <col min="7" max="7" width="12" customWidth="1"/>
    <col min="8" max="10" width="9" customWidth="1"/>
    <col min="11" max="11" width="11" customWidth="1"/>
    <col min="12" max="12" width="10" customWidth="1"/>
    <col min="13" max="26" width="8.7109375" customWidth="1"/>
  </cols>
  <sheetData>
    <row r="1" spans="1:12" ht="19.5" customHeight="1">
      <c r="A1" s="54" t="s">
        <v>50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</row>
    <row r="2" spans="1:12" ht="24" customHeight="1">
      <c r="A2" s="28" t="s">
        <v>139</v>
      </c>
      <c r="B2" s="28" t="s">
        <v>440</v>
      </c>
      <c r="C2" s="28" t="s">
        <v>441</v>
      </c>
      <c r="D2" s="28" t="s">
        <v>442</v>
      </c>
      <c r="E2" s="28" t="s">
        <v>443</v>
      </c>
      <c r="F2" s="28" t="s">
        <v>444</v>
      </c>
      <c r="G2" s="28" t="s">
        <v>445</v>
      </c>
      <c r="H2" s="28" t="s">
        <v>446</v>
      </c>
      <c r="I2" s="28" t="s">
        <v>447</v>
      </c>
      <c r="J2" s="28" t="s">
        <v>448</v>
      </c>
      <c r="K2" s="28" t="s">
        <v>106</v>
      </c>
      <c r="L2" s="28" t="s">
        <v>449</v>
      </c>
    </row>
    <row r="3" spans="1:12" ht="24" customHeight="1">
      <c r="A3" s="29" t="s">
        <v>450</v>
      </c>
      <c r="B3" s="29" t="s">
        <v>268</v>
      </c>
      <c r="C3" s="29" t="s">
        <v>451</v>
      </c>
      <c r="D3" s="29" t="s">
        <v>258</v>
      </c>
      <c r="E3" s="29"/>
      <c r="F3" s="29" t="s">
        <v>452</v>
      </c>
      <c r="G3" s="29" t="s">
        <v>452</v>
      </c>
      <c r="H3" s="29">
        <v>1.5</v>
      </c>
      <c r="I3" s="29" t="s">
        <v>452</v>
      </c>
      <c r="J3" s="29" t="s">
        <v>452</v>
      </c>
      <c r="K3" s="29">
        <v>0.5</v>
      </c>
      <c r="L3" s="29"/>
    </row>
    <row r="4" spans="1:12" ht="24" customHeight="1">
      <c r="A4" s="30" t="s">
        <v>453</v>
      </c>
      <c r="B4" s="30" t="s">
        <v>454</v>
      </c>
      <c r="C4" s="30" t="s">
        <v>264</v>
      </c>
      <c r="D4" s="30" t="s">
        <v>455</v>
      </c>
      <c r="E4" s="30"/>
      <c r="F4" s="30" t="s">
        <v>452</v>
      </c>
      <c r="G4" s="30" t="s">
        <v>452</v>
      </c>
      <c r="H4" s="30">
        <v>2</v>
      </c>
      <c r="I4" s="30" t="s">
        <v>452</v>
      </c>
      <c r="J4" s="30">
        <v>1</v>
      </c>
      <c r="K4" s="30">
        <v>1</v>
      </c>
      <c r="L4" s="30"/>
    </row>
    <row r="5" spans="1:12" ht="24" customHeight="1">
      <c r="A5" s="29" t="s">
        <v>456</v>
      </c>
      <c r="B5" s="29" t="s">
        <v>268</v>
      </c>
      <c r="C5" s="29" t="s">
        <v>264</v>
      </c>
      <c r="D5" s="29" t="s">
        <v>259</v>
      </c>
      <c r="E5" s="29"/>
      <c r="F5" s="29" t="s">
        <v>452</v>
      </c>
      <c r="G5" s="29" t="s">
        <v>452</v>
      </c>
      <c r="H5" s="29">
        <v>1</v>
      </c>
      <c r="I5" s="29" t="s">
        <v>452</v>
      </c>
      <c r="J5" s="29">
        <v>1</v>
      </c>
      <c r="K5" s="29" t="s">
        <v>452</v>
      </c>
      <c r="L5" s="29" t="s">
        <v>457</v>
      </c>
    </row>
    <row r="6" spans="1:12" ht="24" customHeight="1">
      <c r="A6" s="30" t="s">
        <v>458</v>
      </c>
      <c r="B6" s="30" t="s">
        <v>454</v>
      </c>
      <c r="C6" s="30" t="s">
        <v>116</v>
      </c>
      <c r="D6" s="30" t="s">
        <v>258</v>
      </c>
      <c r="E6" s="30"/>
      <c r="F6" s="30" t="s">
        <v>452</v>
      </c>
      <c r="G6" s="30" t="s">
        <v>452</v>
      </c>
      <c r="H6" s="30">
        <v>1.5</v>
      </c>
      <c r="I6" s="30" t="s">
        <v>452</v>
      </c>
      <c r="J6" s="30">
        <v>1</v>
      </c>
      <c r="K6" s="30" t="s">
        <v>452</v>
      </c>
      <c r="L6" s="30"/>
    </row>
    <row r="7" spans="1:12" ht="24" customHeight="1">
      <c r="A7" s="29" t="s">
        <v>459</v>
      </c>
      <c r="B7" s="29" t="s">
        <v>268</v>
      </c>
      <c r="C7" s="29" t="s">
        <v>273</v>
      </c>
      <c r="D7" s="29" t="s">
        <v>259</v>
      </c>
      <c r="E7" s="29"/>
      <c r="F7" s="29" t="s">
        <v>452</v>
      </c>
      <c r="G7" s="29" t="s">
        <v>452</v>
      </c>
      <c r="H7" s="29">
        <v>1</v>
      </c>
      <c r="I7" s="29" t="s">
        <v>452</v>
      </c>
      <c r="J7" s="29" t="s">
        <v>452</v>
      </c>
      <c r="K7" s="29" t="s">
        <v>452</v>
      </c>
      <c r="L7" s="29" t="s">
        <v>457</v>
      </c>
    </row>
    <row r="8" spans="1:12" ht="24" customHeight="1">
      <c r="A8" s="30" t="s">
        <v>460</v>
      </c>
      <c r="B8" s="30" t="s">
        <v>268</v>
      </c>
      <c r="C8" s="30" t="s">
        <v>264</v>
      </c>
      <c r="D8" s="30" t="s">
        <v>258</v>
      </c>
      <c r="E8" s="30"/>
      <c r="F8" s="30" t="s">
        <v>452</v>
      </c>
      <c r="G8" s="30" t="s">
        <v>452</v>
      </c>
      <c r="H8" s="30" t="s">
        <v>452</v>
      </c>
      <c r="I8" s="30" t="s">
        <v>452</v>
      </c>
      <c r="J8" s="30">
        <v>1</v>
      </c>
      <c r="K8" s="30" t="s">
        <v>452</v>
      </c>
      <c r="L8" s="30"/>
    </row>
    <row r="9" spans="1:12" ht="24" customHeight="1">
      <c r="A9" s="29" t="s">
        <v>461</v>
      </c>
      <c r="B9" s="29" t="s">
        <v>454</v>
      </c>
      <c r="C9" s="29" t="s">
        <v>451</v>
      </c>
      <c r="D9" s="29" t="s">
        <v>258</v>
      </c>
      <c r="E9" s="29"/>
      <c r="F9" s="29" t="s">
        <v>452</v>
      </c>
      <c r="G9" s="29" t="s">
        <v>452</v>
      </c>
      <c r="H9" s="29">
        <v>1</v>
      </c>
      <c r="I9" s="29" t="s">
        <v>452</v>
      </c>
      <c r="J9" s="29" t="s">
        <v>452</v>
      </c>
      <c r="K9" s="29">
        <v>0.5</v>
      </c>
      <c r="L9" s="29"/>
    </row>
    <row r="10" spans="1:12" ht="24" customHeight="1">
      <c r="A10" s="30" t="s">
        <v>462</v>
      </c>
      <c r="B10" s="30" t="s">
        <v>303</v>
      </c>
      <c r="C10" s="30" t="s">
        <v>451</v>
      </c>
      <c r="D10" s="30" t="s">
        <v>258</v>
      </c>
      <c r="E10" s="30"/>
      <c r="F10" s="30" t="s">
        <v>452</v>
      </c>
      <c r="G10" s="30">
        <v>1</v>
      </c>
      <c r="H10" s="30" t="s">
        <v>452</v>
      </c>
      <c r="I10" s="30" t="s">
        <v>452</v>
      </c>
      <c r="J10" s="30" t="s">
        <v>452</v>
      </c>
      <c r="K10" s="30">
        <v>0.5</v>
      </c>
      <c r="L10" s="30" t="s">
        <v>457</v>
      </c>
    </row>
    <row r="11" spans="1:12" ht="36" customHeight="1">
      <c r="A11" s="29" t="s">
        <v>463</v>
      </c>
      <c r="B11" s="29" t="s">
        <v>454</v>
      </c>
      <c r="C11" s="29" t="s">
        <v>273</v>
      </c>
      <c r="D11" s="29" t="s">
        <v>259</v>
      </c>
      <c r="E11" s="29"/>
      <c r="F11" s="29" t="s">
        <v>452</v>
      </c>
      <c r="G11" s="29" t="s">
        <v>452</v>
      </c>
      <c r="H11" s="29">
        <v>2</v>
      </c>
      <c r="I11" s="29" t="s">
        <v>452</v>
      </c>
      <c r="J11" s="29">
        <v>1</v>
      </c>
      <c r="K11" s="29" t="s">
        <v>452</v>
      </c>
      <c r="L11" s="29" t="s">
        <v>457</v>
      </c>
    </row>
    <row r="12" spans="1:12" ht="24" customHeight="1">
      <c r="A12" s="30" t="s">
        <v>464</v>
      </c>
      <c r="B12" s="30" t="s">
        <v>268</v>
      </c>
      <c r="C12" s="30" t="s">
        <v>273</v>
      </c>
      <c r="D12" s="30" t="s">
        <v>259</v>
      </c>
      <c r="E12" s="30"/>
      <c r="F12" s="30" t="s">
        <v>452</v>
      </c>
      <c r="G12" s="30" t="s">
        <v>452</v>
      </c>
      <c r="H12" s="30" t="s">
        <v>452</v>
      </c>
      <c r="I12" s="30" t="s">
        <v>452</v>
      </c>
      <c r="J12" s="30" t="s">
        <v>452</v>
      </c>
      <c r="K12" s="30" t="s">
        <v>452</v>
      </c>
      <c r="L12" s="30" t="s">
        <v>457</v>
      </c>
    </row>
    <row r="13" spans="1:12" ht="24" customHeight="1">
      <c r="A13" s="29" t="s">
        <v>465</v>
      </c>
      <c r="B13" s="29" t="s">
        <v>454</v>
      </c>
      <c r="C13" s="29" t="s">
        <v>116</v>
      </c>
      <c r="D13" s="29" t="s">
        <v>259</v>
      </c>
      <c r="E13" s="29"/>
      <c r="F13" s="29" t="s">
        <v>452</v>
      </c>
      <c r="G13" s="29" t="s">
        <v>452</v>
      </c>
      <c r="H13" s="29" t="s">
        <v>452</v>
      </c>
      <c r="I13" s="29" t="s">
        <v>452</v>
      </c>
      <c r="J13" s="29" t="s">
        <v>452</v>
      </c>
      <c r="K13" s="29" t="s">
        <v>452</v>
      </c>
      <c r="L13" s="29"/>
    </row>
    <row r="14" spans="1:12" ht="24" customHeight="1">
      <c r="A14" s="30" t="s">
        <v>466</v>
      </c>
      <c r="B14" s="30" t="s">
        <v>268</v>
      </c>
      <c r="C14" s="30" t="s">
        <v>273</v>
      </c>
      <c r="D14" s="30" t="s">
        <v>259</v>
      </c>
      <c r="E14" s="30"/>
      <c r="F14" s="30" t="s">
        <v>452</v>
      </c>
      <c r="G14" s="30" t="s">
        <v>452</v>
      </c>
      <c r="H14" s="30" t="s">
        <v>452</v>
      </c>
      <c r="I14" s="30" t="s">
        <v>452</v>
      </c>
      <c r="J14" s="30" t="s">
        <v>452</v>
      </c>
      <c r="K14" s="30" t="s">
        <v>452</v>
      </c>
      <c r="L14" s="30" t="s">
        <v>457</v>
      </c>
    </row>
    <row r="15" spans="1:12" ht="24" customHeight="1">
      <c r="A15" s="29" t="s">
        <v>467</v>
      </c>
      <c r="B15" s="29" t="s">
        <v>303</v>
      </c>
      <c r="C15" s="29" t="s">
        <v>116</v>
      </c>
      <c r="D15" s="29" t="s">
        <v>258</v>
      </c>
      <c r="E15" s="29"/>
      <c r="F15" s="29">
        <v>1.5</v>
      </c>
      <c r="G15" s="29">
        <v>2</v>
      </c>
      <c r="H15" s="29" t="s">
        <v>452</v>
      </c>
      <c r="I15" s="29">
        <v>1.5</v>
      </c>
      <c r="J15" s="29">
        <v>1</v>
      </c>
      <c r="K15" s="29">
        <v>0.5</v>
      </c>
      <c r="L15" s="29"/>
    </row>
    <row r="16" spans="1:12" ht="24" customHeight="1">
      <c r="A16" s="30" t="s">
        <v>468</v>
      </c>
      <c r="B16" s="30" t="s">
        <v>303</v>
      </c>
      <c r="C16" s="30" t="s">
        <v>451</v>
      </c>
      <c r="D16" s="30" t="s">
        <v>258</v>
      </c>
      <c r="E16" s="30"/>
      <c r="F16" s="30" t="s">
        <v>452</v>
      </c>
      <c r="G16" s="30" t="s">
        <v>452</v>
      </c>
      <c r="H16" s="30">
        <v>1.5</v>
      </c>
      <c r="I16" s="30" t="s">
        <v>452</v>
      </c>
      <c r="J16" s="30" t="s">
        <v>452</v>
      </c>
      <c r="K16" s="30" t="s">
        <v>452</v>
      </c>
      <c r="L16" s="30"/>
    </row>
    <row r="17" spans="1:12" ht="24" customHeight="1">
      <c r="A17" s="29" t="s">
        <v>469</v>
      </c>
      <c r="B17" s="29" t="s">
        <v>454</v>
      </c>
      <c r="C17" s="29" t="s">
        <v>451</v>
      </c>
      <c r="D17" s="29" t="s">
        <v>258</v>
      </c>
      <c r="E17" s="29"/>
      <c r="F17" s="29" t="s">
        <v>452</v>
      </c>
      <c r="G17" s="29" t="s">
        <v>452</v>
      </c>
      <c r="H17" s="29" t="s">
        <v>452</v>
      </c>
      <c r="I17" s="29" t="s">
        <v>452</v>
      </c>
      <c r="J17" s="29" t="s">
        <v>452</v>
      </c>
      <c r="K17" s="29" t="s">
        <v>452</v>
      </c>
      <c r="L17" s="29"/>
    </row>
    <row r="18" spans="1:12" ht="24" customHeight="1">
      <c r="A18" s="30" t="s">
        <v>470</v>
      </c>
      <c r="B18" s="30" t="s">
        <v>268</v>
      </c>
      <c r="C18" s="30" t="s">
        <v>451</v>
      </c>
      <c r="D18" s="30" t="s">
        <v>258</v>
      </c>
      <c r="E18" s="30"/>
      <c r="F18" s="30" t="s">
        <v>452</v>
      </c>
      <c r="G18" s="30" t="s">
        <v>452</v>
      </c>
      <c r="H18" s="30" t="s">
        <v>452</v>
      </c>
      <c r="I18" s="30">
        <v>1.5</v>
      </c>
      <c r="J18" s="30" t="s">
        <v>452</v>
      </c>
      <c r="K18" s="30" t="s">
        <v>452</v>
      </c>
      <c r="L18" s="30" t="s">
        <v>457</v>
      </c>
    </row>
    <row r="19" spans="1:12" ht="24" customHeight="1">
      <c r="A19" s="29" t="s">
        <v>471</v>
      </c>
      <c r="B19" s="29" t="s">
        <v>268</v>
      </c>
      <c r="C19" s="29" t="s">
        <v>116</v>
      </c>
      <c r="D19" s="29" t="s">
        <v>258</v>
      </c>
      <c r="E19" s="29"/>
      <c r="F19" s="29" t="s">
        <v>452</v>
      </c>
      <c r="G19" s="29" t="s">
        <v>452</v>
      </c>
      <c r="H19" s="29" t="s">
        <v>452</v>
      </c>
      <c r="I19" s="29">
        <v>2</v>
      </c>
      <c r="J19" s="29">
        <v>1</v>
      </c>
      <c r="K19" s="29" t="s">
        <v>452</v>
      </c>
      <c r="L19" s="29"/>
    </row>
    <row r="20" spans="1:12" ht="24" customHeight="1">
      <c r="A20" s="30" t="s">
        <v>472</v>
      </c>
      <c r="B20" s="30" t="s">
        <v>268</v>
      </c>
      <c r="C20" s="30"/>
      <c r="D20" s="30" t="s">
        <v>258</v>
      </c>
      <c r="E20" s="30"/>
      <c r="F20" s="30" t="s">
        <v>452</v>
      </c>
      <c r="G20" s="30" t="s">
        <v>452</v>
      </c>
      <c r="H20" s="30">
        <v>1.5</v>
      </c>
      <c r="I20" s="30" t="s">
        <v>452</v>
      </c>
      <c r="J20" s="30" t="s">
        <v>452</v>
      </c>
      <c r="K20" s="30">
        <v>0.5</v>
      </c>
      <c r="L20" s="30"/>
    </row>
    <row r="21" spans="1:12" ht="24" customHeight="1">
      <c r="A21" s="29" t="s">
        <v>473</v>
      </c>
      <c r="B21" s="29" t="s">
        <v>454</v>
      </c>
      <c r="C21" s="29"/>
      <c r="D21" s="29" t="s">
        <v>279</v>
      </c>
      <c r="E21" s="29" t="s">
        <v>83</v>
      </c>
      <c r="F21" s="29" t="s">
        <v>452</v>
      </c>
      <c r="G21" s="29" t="s">
        <v>452</v>
      </c>
      <c r="H21" s="29" t="s">
        <v>452</v>
      </c>
      <c r="I21" s="29" t="s">
        <v>452</v>
      </c>
      <c r="J21" s="29" t="s">
        <v>452</v>
      </c>
      <c r="K21" s="29" t="s">
        <v>452</v>
      </c>
      <c r="L21" s="29"/>
    </row>
    <row r="22" spans="1:12" ht="24" customHeight="1">
      <c r="A22" s="30" t="s">
        <v>474</v>
      </c>
      <c r="B22" s="30" t="s">
        <v>454</v>
      </c>
      <c r="C22" s="30"/>
      <c r="D22" s="30" t="s">
        <v>279</v>
      </c>
      <c r="E22" s="30" t="s">
        <v>83</v>
      </c>
      <c r="F22" s="30" t="s">
        <v>452</v>
      </c>
      <c r="G22" s="30" t="s">
        <v>452</v>
      </c>
      <c r="H22" s="30" t="s">
        <v>452</v>
      </c>
      <c r="I22" s="30" t="s">
        <v>452</v>
      </c>
      <c r="J22" s="30" t="s">
        <v>452</v>
      </c>
      <c r="K22" s="30" t="s">
        <v>452</v>
      </c>
      <c r="L22" s="30"/>
    </row>
    <row r="23" spans="1:12" ht="24" customHeight="1">
      <c r="A23" s="29" t="s">
        <v>475</v>
      </c>
      <c r="B23" s="29"/>
      <c r="C23" s="29" t="s">
        <v>116</v>
      </c>
      <c r="D23" s="29" t="s">
        <v>258</v>
      </c>
      <c r="E23" s="29"/>
      <c r="F23" s="29" t="s">
        <v>452</v>
      </c>
      <c r="G23" s="29" t="s">
        <v>452</v>
      </c>
      <c r="H23" s="29" t="s">
        <v>452</v>
      </c>
      <c r="I23" s="29" t="s">
        <v>452</v>
      </c>
      <c r="J23" s="29" t="s">
        <v>452</v>
      </c>
      <c r="K23" s="29" t="s">
        <v>452</v>
      </c>
      <c r="L23" s="29"/>
    </row>
    <row r="24" spans="1:12" ht="24" customHeight="1">
      <c r="A24" s="30" t="s">
        <v>476</v>
      </c>
      <c r="B24" s="30"/>
      <c r="C24" s="30" t="s">
        <v>264</v>
      </c>
      <c r="D24" s="30" t="s">
        <v>259</v>
      </c>
      <c r="E24" s="30"/>
      <c r="F24" s="30" t="s">
        <v>452</v>
      </c>
      <c r="G24" s="30" t="s">
        <v>452</v>
      </c>
      <c r="H24" s="30" t="s">
        <v>452</v>
      </c>
      <c r="I24" s="30" t="s">
        <v>452</v>
      </c>
      <c r="J24" s="30" t="s">
        <v>452</v>
      </c>
      <c r="K24" s="30" t="s">
        <v>452</v>
      </c>
      <c r="L24" s="30"/>
    </row>
    <row r="25" spans="1:12" ht="24" customHeight="1">
      <c r="A25" s="29" t="s">
        <v>477</v>
      </c>
      <c r="B25" s="29" t="s">
        <v>303</v>
      </c>
      <c r="C25" s="29" t="s">
        <v>264</v>
      </c>
      <c r="D25" s="29" t="s">
        <v>259</v>
      </c>
      <c r="E25" s="29"/>
      <c r="F25" s="29" t="s">
        <v>452</v>
      </c>
      <c r="G25" s="29" t="s">
        <v>452</v>
      </c>
      <c r="H25" s="29" t="s">
        <v>452</v>
      </c>
      <c r="I25" s="29" t="s">
        <v>452</v>
      </c>
      <c r="J25" s="29" t="s">
        <v>452</v>
      </c>
      <c r="K25" s="29" t="s">
        <v>452</v>
      </c>
      <c r="L25" s="29"/>
    </row>
    <row r="26" spans="1:12" ht="24" customHeight="1">
      <c r="A26" s="30" t="s">
        <v>478</v>
      </c>
      <c r="B26" s="30"/>
      <c r="C26" s="30"/>
      <c r="D26" s="30" t="s">
        <v>258</v>
      </c>
      <c r="E26" s="30" t="s">
        <v>83</v>
      </c>
      <c r="F26" s="30" t="s">
        <v>452</v>
      </c>
      <c r="G26" s="30" t="s">
        <v>452</v>
      </c>
      <c r="H26" s="30" t="s">
        <v>452</v>
      </c>
      <c r="I26" s="30" t="s">
        <v>452</v>
      </c>
      <c r="J26" s="30" t="s">
        <v>452</v>
      </c>
      <c r="K26" s="30" t="s">
        <v>452</v>
      </c>
      <c r="L26" s="30"/>
    </row>
    <row r="27" spans="1:12" ht="24" customHeight="1">
      <c r="A27" s="29" t="s">
        <v>479</v>
      </c>
      <c r="B27" s="29" t="s">
        <v>268</v>
      </c>
      <c r="C27" s="29" t="s">
        <v>451</v>
      </c>
      <c r="D27" s="29" t="s">
        <v>259</v>
      </c>
      <c r="E27" s="29"/>
      <c r="F27" s="29" t="s">
        <v>452</v>
      </c>
      <c r="G27" s="29" t="s">
        <v>452</v>
      </c>
      <c r="H27" s="29" t="s">
        <v>452</v>
      </c>
      <c r="I27" s="29" t="s">
        <v>452</v>
      </c>
      <c r="J27" s="29" t="s">
        <v>452</v>
      </c>
      <c r="K27" s="29" t="s">
        <v>452</v>
      </c>
      <c r="L27" s="29"/>
    </row>
    <row r="28" spans="1:12" ht="24" customHeight="1">
      <c r="A28" s="30" t="s">
        <v>480</v>
      </c>
      <c r="B28" s="30" t="s">
        <v>454</v>
      </c>
      <c r="C28" s="30" t="s">
        <v>116</v>
      </c>
      <c r="D28" s="30" t="s">
        <v>258</v>
      </c>
      <c r="E28" s="30"/>
      <c r="F28" s="30" t="s">
        <v>452</v>
      </c>
      <c r="G28" s="30" t="s">
        <v>452</v>
      </c>
      <c r="H28" s="30" t="s">
        <v>452</v>
      </c>
      <c r="I28" s="30">
        <v>2</v>
      </c>
      <c r="J28" s="30" t="s">
        <v>452</v>
      </c>
      <c r="K28" s="30" t="s">
        <v>452</v>
      </c>
      <c r="L28" s="30" t="s">
        <v>457</v>
      </c>
    </row>
    <row r="29" spans="1:12" ht="24" customHeight="1">
      <c r="A29" s="29" t="s">
        <v>481</v>
      </c>
      <c r="B29" s="29" t="s">
        <v>454</v>
      </c>
      <c r="C29" s="29" t="s">
        <v>451</v>
      </c>
      <c r="D29" s="29" t="s">
        <v>258</v>
      </c>
      <c r="E29" s="29"/>
      <c r="F29" s="29" t="s">
        <v>452</v>
      </c>
      <c r="G29" s="29" t="s">
        <v>452</v>
      </c>
      <c r="H29" s="29" t="s">
        <v>452</v>
      </c>
      <c r="I29" s="29" t="s">
        <v>452</v>
      </c>
      <c r="J29" s="29" t="s">
        <v>452</v>
      </c>
      <c r="K29" s="29" t="s">
        <v>452</v>
      </c>
      <c r="L29" s="29"/>
    </row>
    <row r="30" spans="1:12" ht="24" customHeight="1">
      <c r="A30" s="30" t="s">
        <v>482</v>
      </c>
      <c r="B30" s="30" t="s">
        <v>303</v>
      </c>
      <c r="C30" s="30" t="s">
        <v>273</v>
      </c>
      <c r="D30" s="30" t="s">
        <v>259</v>
      </c>
      <c r="E30" s="30"/>
      <c r="F30" s="30" t="s">
        <v>452</v>
      </c>
      <c r="G30" s="30" t="s">
        <v>452</v>
      </c>
      <c r="H30" s="30" t="s">
        <v>452</v>
      </c>
      <c r="I30" s="30" t="s">
        <v>452</v>
      </c>
      <c r="J30" s="30" t="s">
        <v>452</v>
      </c>
      <c r="K30" s="30" t="s">
        <v>452</v>
      </c>
      <c r="L30" s="30"/>
    </row>
    <row r="31" spans="1:12" ht="24" customHeight="1">
      <c r="A31" s="29" t="s">
        <v>483</v>
      </c>
      <c r="B31" s="29" t="s">
        <v>454</v>
      </c>
      <c r="C31" s="29" t="s">
        <v>451</v>
      </c>
      <c r="D31" s="29" t="s">
        <v>258</v>
      </c>
      <c r="E31" s="29"/>
      <c r="F31" s="29" t="s">
        <v>452</v>
      </c>
      <c r="G31" s="29" t="s">
        <v>452</v>
      </c>
      <c r="H31" s="29" t="s">
        <v>452</v>
      </c>
      <c r="I31" s="29">
        <v>30</v>
      </c>
      <c r="J31" s="29" t="s">
        <v>452</v>
      </c>
      <c r="K31" s="29" t="s">
        <v>452</v>
      </c>
      <c r="L31" s="29"/>
    </row>
    <row r="32" spans="1:12" ht="24" customHeight="1">
      <c r="A32" s="30" t="s">
        <v>484</v>
      </c>
      <c r="B32" s="30" t="s">
        <v>303</v>
      </c>
      <c r="C32" s="30" t="s">
        <v>116</v>
      </c>
      <c r="D32" s="30" t="s">
        <v>258</v>
      </c>
      <c r="E32" s="30"/>
      <c r="F32" s="30" t="s">
        <v>452</v>
      </c>
      <c r="G32" s="30" t="s">
        <v>452</v>
      </c>
      <c r="H32" s="30">
        <v>1.5</v>
      </c>
      <c r="I32" s="30" t="s">
        <v>452</v>
      </c>
      <c r="J32" s="30">
        <v>1</v>
      </c>
      <c r="K32" s="30" t="s">
        <v>452</v>
      </c>
      <c r="L32" s="30" t="s">
        <v>457</v>
      </c>
    </row>
    <row r="33" spans="1:12" ht="24" customHeight="1">
      <c r="A33" s="29" t="s">
        <v>485</v>
      </c>
      <c r="B33" s="29" t="s">
        <v>303</v>
      </c>
      <c r="C33" s="29" t="s">
        <v>264</v>
      </c>
      <c r="D33" s="29" t="s">
        <v>259</v>
      </c>
      <c r="E33" s="29"/>
      <c r="F33" s="29">
        <v>1</v>
      </c>
      <c r="G33" s="29" t="s">
        <v>452</v>
      </c>
      <c r="H33" s="29">
        <v>1</v>
      </c>
      <c r="I33" s="29" t="s">
        <v>452</v>
      </c>
      <c r="J33" s="29">
        <v>1</v>
      </c>
      <c r="K33" s="29" t="s">
        <v>452</v>
      </c>
      <c r="L33" s="29"/>
    </row>
    <row r="34" spans="1:12" ht="36" customHeight="1">
      <c r="A34" s="30" t="s">
        <v>84</v>
      </c>
      <c r="B34" s="30" t="s">
        <v>268</v>
      </c>
      <c r="C34" s="30" t="s">
        <v>264</v>
      </c>
      <c r="D34" s="30" t="s">
        <v>259</v>
      </c>
      <c r="E34" s="30"/>
      <c r="F34" s="30" t="s">
        <v>452</v>
      </c>
      <c r="G34" s="30" t="s">
        <v>452</v>
      </c>
      <c r="H34" s="30" t="s">
        <v>452</v>
      </c>
      <c r="I34" s="30" t="s">
        <v>452</v>
      </c>
      <c r="J34" s="30" t="s">
        <v>452</v>
      </c>
      <c r="K34" s="30" t="s">
        <v>452</v>
      </c>
      <c r="L34" s="30" t="s">
        <v>81</v>
      </c>
    </row>
    <row r="35" spans="1:12" ht="24" customHeight="1">
      <c r="A35" s="29" t="s">
        <v>486</v>
      </c>
      <c r="B35" s="29" t="s">
        <v>303</v>
      </c>
      <c r="C35" s="29" t="s">
        <v>273</v>
      </c>
      <c r="D35" s="29" t="s">
        <v>259</v>
      </c>
      <c r="E35" s="29"/>
      <c r="F35" s="29" t="s">
        <v>452</v>
      </c>
      <c r="G35" s="29" t="s">
        <v>452</v>
      </c>
      <c r="H35" s="29" t="s">
        <v>452</v>
      </c>
      <c r="I35" s="29" t="s">
        <v>452</v>
      </c>
      <c r="J35" s="29" t="s">
        <v>452</v>
      </c>
      <c r="K35" s="29" t="s">
        <v>452</v>
      </c>
      <c r="L35" s="29"/>
    </row>
    <row r="36" spans="1:12" ht="24" customHeight="1">
      <c r="A36" s="30" t="s">
        <v>487</v>
      </c>
      <c r="B36" s="30" t="s">
        <v>303</v>
      </c>
      <c r="C36" s="30" t="s">
        <v>273</v>
      </c>
      <c r="D36" s="30" t="s">
        <v>259</v>
      </c>
      <c r="E36" s="30"/>
      <c r="F36" s="30" t="s">
        <v>452</v>
      </c>
      <c r="G36" s="30" t="s">
        <v>452</v>
      </c>
      <c r="H36" s="30" t="s">
        <v>452</v>
      </c>
      <c r="I36" s="30" t="s">
        <v>452</v>
      </c>
      <c r="J36" s="30" t="s">
        <v>452</v>
      </c>
      <c r="K36" s="30" t="s">
        <v>452</v>
      </c>
      <c r="L36" s="30" t="s">
        <v>81</v>
      </c>
    </row>
    <row r="37" spans="1:12" ht="24" customHeight="1">
      <c r="A37" s="29" t="s">
        <v>488</v>
      </c>
      <c r="B37" s="29"/>
      <c r="C37" s="29" t="s">
        <v>273</v>
      </c>
      <c r="D37" s="29" t="s">
        <v>259</v>
      </c>
      <c r="E37" s="29" t="s">
        <v>83</v>
      </c>
      <c r="F37" s="29" t="s">
        <v>452</v>
      </c>
      <c r="G37" s="29" t="s">
        <v>452</v>
      </c>
      <c r="H37" s="29" t="s">
        <v>452</v>
      </c>
      <c r="I37" s="29" t="s">
        <v>452</v>
      </c>
      <c r="J37" s="29" t="s">
        <v>452</v>
      </c>
      <c r="K37" s="29" t="s">
        <v>452</v>
      </c>
      <c r="L37" s="29" t="s">
        <v>81</v>
      </c>
    </row>
    <row r="38" spans="1:12" ht="24" customHeight="1">
      <c r="A38" s="30" t="s">
        <v>489</v>
      </c>
      <c r="B38" s="30" t="s">
        <v>268</v>
      </c>
      <c r="C38" s="30" t="s">
        <v>273</v>
      </c>
      <c r="D38" s="30" t="s">
        <v>258</v>
      </c>
      <c r="E38" s="30"/>
      <c r="F38" s="30">
        <v>1.5</v>
      </c>
      <c r="G38" s="30">
        <v>5</v>
      </c>
      <c r="H38" s="30" t="s">
        <v>452</v>
      </c>
      <c r="I38" s="30">
        <v>1</v>
      </c>
      <c r="J38" s="30" t="s">
        <v>452</v>
      </c>
      <c r="K38" s="30">
        <v>0.5</v>
      </c>
      <c r="L38" s="30"/>
    </row>
    <row r="39" spans="1:12" ht="24" customHeight="1">
      <c r="A39" s="29" t="s">
        <v>490</v>
      </c>
      <c r="B39" s="29"/>
      <c r="C39" s="29" t="s">
        <v>273</v>
      </c>
      <c r="D39" s="29"/>
      <c r="E39" s="29"/>
      <c r="F39" s="29" t="s">
        <v>452</v>
      </c>
      <c r="G39" s="29" t="s">
        <v>452</v>
      </c>
      <c r="H39" s="29" t="s">
        <v>452</v>
      </c>
      <c r="I39" s="29" t="s">
        <v>452</v>
      </c>
      <c r="J39" s="29" t="s">
        <v>452</v>
      </c>
      <c r="K39" s="29" t="s">
        <v>452</v>
      </c>
      <c r="L39" s="29"/>
    </row>
    <row r="40" spans="1:12" ht="24" customHeight="1">
      <c r="A40" s="30" t="s">
        <v>491</v>
      </c>
      <c r="B40" s="30" t="s">
        <v>268</v>
      </c>
      <c r="C40" s="30" t="s">
        <v>273</v>
      </c>
      <c r="D40" s="30" t="s">
        <v>258</v>
      </c>
      <c r="E40" s="30"/>
      <c r="F40" s="30" t="s">
        <v>452</v>
      </c>
      <c r="G40" s="30" t="s">
        <v>452</v>
      </c>
      <c r="H40" s="30" t="s">
        <v>452</v>
      </c>
      <c r="I40" s="30" t="s">
        <v>452</v>
      </c>
      <c r="J40" s="30" t="s">
        <v>452</v>
      </c>
      <c r="K40" s="30" t="s">
        <v>452</v>
      </c>
      <c r="L40" s="30"/>
    </row>
    <row r="41" spans="1:12" ht="24" customHeight="1">
      <c r="A41" s="29" t="s">
        <v>492</v>
      </c>
      <c r="B41" s="29" t="s">
        <v>303</v>
      </c>
      <c r="C41" s="29" t="s">
        <v>264</v>
      </c>
      <c r="D41" s="29" t="s">
        <v>259</v>
      </c>
      <c r="E41" s="29"/>
      <c r="F41" s="29" t="s">
        <v>452</v>
      </c>
      <c r="G41" s="29" t="s">
        <v>452</v>
      </c>
      <c r="H41" s="29" t="s">
        <v>452</v>
      </c>
      <c r="I41" s="29" t="s">
        <v>452</v>
      </c>
      <c r="J41" s="29" t="s">
        <v>452</v>
      </c>
      <c r="K41" s="29" t="s">
        <v>452</v>
      </c>
      <c r="L41" s="29" t="s">
        <v>457</v>
      </c>
    </row>
    <row r="42" spans="1:12" ht="24" customHeight="1">
      <c r="A42" s="30" t="s">
        <v>493</v>
      </c>
      <c r="B42" s="30" t="s">
        <v>268</v>
      </c>
      <c r="C42" s="30" t="s">
        <v>273</v>
      </c>
      <c r="D42" s="30" t="s">
        <v>259</v>
      </c>
      <c r="E42" s="30"/>
      <c r="F42" s="30" t="s">
        <v>452</v>
      </c>
      <c r="G42" s="30" t="s">
        <v>452</v>
      </c>
      <c r="H42" s="30">
        <v>1.5</v>
      </c>
      <c r="I42" s="30" t="s">
        <v>452</v>
      </c>
      <c r="J42" s="30">
        <v>1</v>
      </c>
      <c r="K42" s="30" t="s">
        <v>452</v>
      </c>
      <c r="L42" s="30"/>
    </row>
    <row r="43" spans="1:12" ht="24" customHeight="1">
      <c r="A43" s="29" t="s">
        <v>494</v>
      </c>
      <c r="B43" s="29" t="s">
        <v>454</v>
      </c>
      <c r="C43" s="29" t="s">
        <v>264</v>
      </c>
      <c r="D43" s="29" t="s">
        <v>259</v>
      </c>
      <c r="E43" s="29"/>
      <c r="F43" s="29" t="s">
        <v>452</v>
      </c>
      <c r="G43" s="29" t="s">
        <v>452</v>
      </c>
      <c r="H43" s="29" t="s">
        <v>452</v>
      </c>
      <c r="I43" s="29" t="s">
        <v>452</v>
      </c>
      <c r="J43" s="29" t="s">
        <v>452</v>
      </c>
      <c r="K43" s="29" t="s">
        <v>452</v>
      </c>
      <c r="L43" s="29" t="s">
        <v>495</v>
      </c>
    </row>
    <row r="44" spans="1:12" ht="24" customHeight="1">
      <c r="A44" s="30" t="s">
        <v>496</v>
      </c>
      <c r="B44" s="30"/>
      <c r="C44" s="30"/>
      <c r="D44" s="30" t="s">
        <v>279</v>
      </c>
      <c r="E44" s="30" t="s">
        <v>83</v>
      </c>
      <c r="F44" s="30" t="s">
        <v>452</v>
      </c>
      <c r="G44" s="30" t="s">
        <v>452</v>
      </c>
      <c r="H44" s="30" t="s">
        <v>452</v>
      </c>
      <c r="I44" s="30" t="s">
        <v>452</v>
      </c>
      <c r="J44" s="30" t="s">
        <v>452</v>
      </c>
      <c r="K44" s="30" t="s">
        <v>452</v>
      </c>
      <c r="L44" s="30"/>
    </row>
    <row r="45" spans="1:12" ht="24" customHeight="1">
      <c r="A45" s="29" t="s">
        <v>497</v>
      </c>
      <c r="B45" s="29" t="s">
        <v>303</v>
      </c>
      <c r="C45" s="29" t="s">
        <v>264</v>
      </c>
      <c r="D45" s="29" t="s">
        <v>258</v>
      </c>
      <c r="E45" s="29"/>
      <c r="F45" s="29" t="s">
        <v>452</v>
      </c>
      <c r="G45" s="29" t="s">
        <v>452</v>
      </c>
      <c r="H45" s="29" t="s">
        <v>452</v>
      </c>
      <c r="I45" s="29">
        <v>1</v>
      </c>
      <c r="J45" s="29" t="s">
        <v>452</v>
      </c>
      <c r="K45" s="29" t="s">
        <v>452</v>
      </c>
      <c r="L45" s="29"/>
    </row>
    <row r="46" spans="1:12" ht="24" customHeight="1">
      <c r="A46" s="30" t="s">
        <v>498</v>
      </c>
      <c r="B46" s="30" t="s">
        <v>454</v>
      </c>
      <c r="C46" s="30" t="s">
        <v>273</v>
      </c>
      <c r="D46" s="30" t="s">
        <v>259</v>
      </c>
      <c r="E46" s="30"/>
      <c r="F46" s="30" t="s">
        <v>452</v>
      </c>
      <c r="G46" s="30" t="s">
        <v>452</v>
      </c>
      <c r="H46" s="30" t="s">
        <v>452</v>
      </c>
      <c r="I46" s="30" t="s">
        <v>452</v>
      </c>
      <c r="J46" s="30" t="s">
        <v>452</v>
      </c>
      <c r="K46" s="30" t="s">
        <v>452</v>
      </c>
      <c r="L46" s="30"/>
    </row>
    <row r="47" spans="1:12" ht="24" customHeight="1">
      <c r="A47" s="29" t="s">
        <v>499</v>
      </c>
      <c r="B47" s="29" t="s">
        <v>454</v>
      </c>
      <c r="C47" s="29" t="s">
        <v>264</v>
      </c>
      <c r="D47" s="29" t="s">
        <v>500</v>
      </c>
      <c r="E47" s="29"/>
      <c r="F47" s="29" t="s">
        <v>452</v>
      </c>
      <c r="G47" s="29" t="s">
        <v>452</v>
      </c>
      <c r="H47" s="29" t="s">
        <v>452</v>
      </c>
      <c r="I47" s="29" t="s">
        <v>452</v>
      </c>
      <c r="J47" s="29" t="s">
        <v>452</v>
      </c>
      <c r="K47" s="29" t="s">
        <v>452</v>
      </c>
      <c r="L47" s="29"/>
    </row>
    <row r="48" spans="1:12" ht="24" customHeight="1">
      <c r="A48" s="30" t="s">
        <v>501</v>
      </c>
      <c r="B48" s="30"/>
      <c r="C48" s="30" t="s">
        <v>273</v>
      </c>
      <c r="D48" s="30" t="s">
        <v>258</v>
      </c>
      <c r="E48" s="30"/>
      <c r="F48" s="30" t="s">
        <v>452</v>
      </c>
      <c r="G48" s="30" t="s">
        <v>452</v>
      </c>
      <c r="H48" s="30" t="s">
        <v>452</v>
      </c>
      <c r="I48" s="30" t="s">
        <v>452</v>
      </c>
      <c r="J48" s="30" t="s">
        <v>452</v>
      </c>
      <c r="K48" s="30" t="s">
        <v>452</v>
      </c>
      <c r="L48" s="30"/>
    </row>
    <row r="49" spans="1:12" ht="24" customHeight="1">
      <c r="A49" s="29" t="s">
        <v>502</v>
      </c>
      <c r="B49" s="29"/>
      <c r="C49" s="29"/>
      <c r="D49" s="29"/>
      <c r="E49" s="29" t="s">
        <v>83</v>
      </c>
      <c r="F49" s="29" t="s">
        <v>452</v>
      </c>
      <c r="G49" s="29" t="s">
        <v>452</v>
      </c>
      <c r="H49" s="29" t="s">
        <v>452</v>
      </c>
      <c r="I49" s="29" t="s">
        <v>452</v>
      </c>
      <c r="J49" s="29" t="s">
        <v>452</v>
      </c>
      <c r="K49" s="29" t="s">
        <v>452</v>
      </c>
      <c r="L49" s="29"/>
    </row>
    <row r="50" spans="1:12" ht="24" customHeight="1">
      <c r="A50" s="30" t="s">
        <v>503</v>
      </c>
      <c r="B50" s="30" t="s">
        <v>303</v>
      </c>
      <c r="C50" s="30" t="s">
        <v>451</v>
      </c>
      <c r="D50" s="30" t="s">
        <v>258</v>
      </c>
      <c r="E50" s="30"/>
      <c r="F50" s="30" t="s">
        <v>452</v>
      </c>
      <c r="G50" s="30" t="s">
        <v>452</v>
      </c>
      <c r="H50" s="30" t="s">
        <v>452</v>
      </c>
      <c r="I50" s="30" t="s">
        <v>452</v>
      </c>
      <c r="J50" s="30" t="s">
        <v>452</v>
      </c>
      <c r="K50" s="30" t="s">
        <v>452</v>
      </c>
      <c r="L50" s="30"/>
    </row>
    <row r="51" spans="1:12" ht="24" customHeight="1">
      <c r="A51" s="29" t="s">
        <v>504</v>
      </c>
      <c r="B51" s="29" t="s">
        <v>268</v>
      </c>
      <c r="C51" s="29" t="s">
        <v>116</v>
      </c>
      <c r="D51" s="29" t="s">
        <v>258</v>
      </c>
      <c r="E51" s="29"/>
      <c r="F51" s="29" t="s">
        <v>452</v>
      </c>
      <c r="G51" s="29" t="s">
        <v>452</v>
      </c>
      <c r="H51" s="29">
        <v>2</v>
      </c>
      <c r="I51" s="29" t="s">
        <v>452</v>
      </c>
      <c r="J51" s="29">
        <v>1</v>
      </c>
      <c r="K51" s="29">
        <v>0.5</v>
      </c>
      <c r="L51" s="29"/>
    </row>
    <row r="52" spans="1:12" ht="24" customHeight="1">
      <c r="A52" s="30" t="s">
        <v>505</v>
      </c>
      <c r="B52" s="30" t="s">
        <v>454</v>
      </c>
      <c r="C52" s="30" t="s">
        <v>264</v>
      </c>
      <c r="D52" s="30" t="s">
        <v>258</v>
      </c>
      <c r="E52" s="30"/>
      <c r="F52" s="30">
        <v>1</v>
      </c>
      <c r="G52" s="30">
        <v>3</v>
      </c>
      <c r="H52" s="30">
        <v>1.5</v>
      </c>
      <c r="I52" s="30" t="s">
        <v>452</v>
      </c>
      <c r="J52" s="30">
        <v>1</v>
      </c>
      <c r="K52" s="30">
        <v>0.5</v>
      </c>
      <c r="L52" s="30" t="s">
        <v>457</v>
      </c>
    </row>
    <row r="53" spans="1:12" ht="24" customHeight="1">
      <c r="A53" s="29" t="s">
        <v>506</v>
      </c>
      <c r="B53" s="29" t="s">
        <v>268</v>
      </c>
      <c r="C53" s="29" t="s">
        <v>273</v>
      </c>
      <c r="D53" s="29" t="s">
        <v>259</v>
      </c>
      <c r="E53" s="29"/>
      <c r="F53" s="29" t="s">
        <v>452</v>
      </c>
      <c r="G53" s="29" t="s">
        <v>452</v>
      </c>
      <c r="H53" s="29">
        <v>1.5</v>
      </c>
      <c r="I53" s="29" t="s">
        <v>452</v>
      </c>
      <c r="J53" s="29">
        <v>1</v>
      </c>
      <c r="K53" s="29" t="s">
        <v>452</v>
      </c>
      <c r="L53" s="29"/>
    </row>
    <row r="54" spans="1:12" ht="24" customHeight="1">
      <c r="A54" s="30" t="s">
        <v>507</v>
      </c>
      <c r="B54" s="30" t="s">
        <v>303</v>
      </c>
      <c r="C54" s="30" t="s">
        <v>116</v>
      </c>
      <c r="D54" s="30" t="s">
        <v>258</v>
      </c>
      <c r="E54" s="30"/>
      <c r="F54" s="30" t="s">
        <v>452</v>
      </c>
      <c r="G54" s="30" t="s">
        <v>452</v>
      </c>
      <c r="H54" s="30">
        <v>1.5</v>
      </c>
      <c r="I54" s="30" t="s">
        <v>452</v>
      </c>
      <c r="J54" s="30">
        <v>1</v>
      </c>
      <c r="K54" s="30">
        <v>0.5</v>
      </c>
      <c r="L54" s="30"/>
    </row>
    <row r="55" spans="1:12" ht="24" customHeight="1">
      <c r="A55" s="29" t="s">
        <v>508</v>
      </c>
      <c r="B55" s="29" t="s">
        <v>268</v>
      </c>
      <c r="C55" s="29" t="s">
        <v>273</v>
      </c>
      <c r="D55" s="29" t="s">
        <v>258</v>
      </c>
      <c r="E55" s="29"/>
      <c r="F55" s="29" t="s">
        <v>452</v>
      </c>
      <c r="G55" s="29" t="s">
        <v>452</v>
      </c>
      <c r="H55" s="29">
        <v>1.5</v>
      </c>
      <c r="I55" s="29" t="s">
        <v>452</v>
      </c>
      <c r="J55" s="29">
        <v>1</v>
      </c>
      <c r="K55" s="29">
        <v>0.5</v>
      </c>
      <c r="L55" s="29"/>
    </row>
    <row r="56" spans="1:12" ht="24" customHeight="1">
      <c r="A56" s="30" t="s">
        <v>509</v>
      </c>
      <c r="B56" s="30" t="s">
        <v>454</v>
      </c>
      <c r="C56" s="30" t="s">
        <v>116</v>
      </c>
      <c r="D56" s="30" t="s">
        <v>259</v>
      </c>
      <c r="E56" s="30"/>
      <c r="F56" s="30" t="s">
        <v>452</v>
      </c>
      <c r="G56" s="30" t="s">
        <v>452</v>
      </c>
      <c r="H56" s="30" t="s">
        <v>452</v>
      </c>
      <c r="I56" s="30" t="s">
        <v>452</v>
      </c>
      <c r="J56" s="30" t="s">
        <v>452</v>
      </c>
      <c r="K56" s="30" t="s">
        <v>452</v>
      </c>
      <c r="L56" s="30"/>
    </row>
    <row r="57" spans="1:12" ht="24" customHeight="1">
      <c r="A57" s="29" t="s">
        <v>510</v>
      </c>
      <c r="B57" s="29" t="s">
        <v>454</v>
      </c>
      <c r="C57" s="29" t="s">
        <v>264</v>
      </c>
      <c r="D57" s="29" t="s">
        <v>258</v>
      </c>
      <c r="E57" s="29"/>
      <c r="F57" s="29">
        <v>1</v>
      </c>
      <c r="G57" s="29">
        <v>3</v>
      </c>
      <c r="H57" s="29">
        <v>1.5</v>
      </c>
      <c r="I57" s="29" t="s">
        <v>452</v>
      </c>
      <c r="J57" s="29">
        <v>1</v>
      </c>
      <c r="K57" s="29">
        <v>0.5</v>
      </c>
      <c r="L57" s="29" t="s">
        <v>81</v>
      </c>
    </row>
    <row r="58" spans="1:12" ht="36" customHeight="1">
      <c r="A58" s="30" t="s">
        <v>511</v>
      </c>
      <c r="B58" s="30" t="s">
        <v>454</v>
      </c>
      <c r="C58" s="30" t="s">
        <v>451</v>
      </c>
      <c r="D58" s="30" t="s">
        <v>258</v>
      </c>
      <c r="E58" s="30"/>
      <c r="F58" s="30" t="s">
        <v>452</v>
      </c>
      <c r="G58" s="30" t="s">
        <v>452</v>
      </c>
      <c r="H58" s="30">
        <v>2</v>
      </c>
      <c r="I58" s="30" t="s">
        <v>452</v>
      </c>
      <c r="J58" s="30">
        <v>1</v>
      </c>
      <c r="K58" s="30">
        <v>0.5</v>
      </c>
      <c r="L58" s="30"/>
    </row>
    <row r="59" spans="1:12" ht="36" customHeight="1">
      <c r="A59" s="29" t="s">
        <v>512</v>
      </c>
      <c r="B59" s="29" t="s">
        <v>268</v>
      </c>
      <c r="C59" s="29" t="s">
        <v>116</v>
      </c>
      <c r="D59" s="29" t="s">
        <v>259</v>
      </c>
      <c r="E59" s="29"/>
      <c r="F59" s="29" t="s">
        <v>452</v>
      </c>
      <c r="G59" s="29" t="s">
        <v>452</v>
      </c>
      <c r="H59" s="29" t="s">
        <v>452</v>
      </c>
      <c r="I59" s="29" t="s">
        <v>452</v>
      </c>
      <c r="J59" s="29" t="s">
        <v>452</v>
      </c>
      <c r="K59" s="29" t="s">
        <v>452</v>
      </c>
      <c r="L59" s="29" t="s">
        <v>513</v>
      </c>
    </row>
    <row r="60" spans="1:12" ht="15.75" customHeight="1">
      <c r="A60" s="30" t="s">
        <v>514</v>
      </c>
      <c r="B60" s="30" t="s">
        <v>454</v>
      </c>
      <c r="C60" s="30" t="s">
        <v>451</v>
      </c>
      <c r="D60" s="30" t="s">
        <v>259</v>
      </c>
      <c r="E60" s="30"/>
      <c r="F60" s="30" t="s">
        <v>515</v>
      </c>
      <c r="G60" s="30"/>
      <c r="H60" s="30"/>
      <c r="I60" s="30"/>
      <c r="J60" s="30"/>
      <c r="K60" s="30" t="s">
        <v>515</v>
      </c>
      <c r="L60" s="30"/>
    </row>
  </sheetData>
  <hyperlinks>
    <hyperlink ref="A1" location="'📋 Dashboard'!A1" display="← Dashboard" xr:uid="{00000000-0004-0000-0C00-000000000000}"/>
  </hyperlink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7"/>
  <sheetViews>
    <sheetView showGridLines="0" workbookViewId="0">
      <pane xSplit="1" ySplit="1" topLeftCell="B2" activePane="bottomRight" state="frozen"/>
      <selection pane="bottomRight" activeCell="B2" sqref="B2"/>
      <selection pane="bottomLeft" activeCell="A2" sqref="A2"/>
      <selection pane="topRight" activeCell="B1" sqref="B1"/>
    </sheetView>
  </sheetViews>
  <sheetFormatPr defaultColWidth="14.42578125" defaultRowHeight="15" customHeight="1"/>
  <cols>
    <col min="1" max="1" width="45" customWidth="1"/>
    <col min="2" max="2" width="20" customWidth="1"/>
    <col min="3" max="3" width="30" customWidth="1"/>
    <col min="4" max="26" width="8.7109375" customWidth="1"/>
  </cols>
  <sheetData>
    <row r="1" spans="1:3" ht="19.5" customHeight="1">
      <c r="A1" s="54" t="s">
        <v>50</v>
      </c>
      <c r="B1" s="140"/>
      <c r="C1" s="140"/>
    </row>
    <row r="2" spans="1:3">
      <c r="A2" s="28" t="s">
        <v>139</v>
      </c>
      <c r="B2" s="28" t="s">
        <v>516</v>
      </c>
      <c r="C2" s="28" t="s">
        <v>130</v>
      </c>
    </row>
    <row r="3" spans="1:3">
      <c r="A3" s="29" t="s">
        <v>470</v>
      </c>
      <c r="B3" s="33" t="s">
        <v>79</v>
      </c>
      <c r="C3" s="29"/>
    </row>
    <row r="4" spans="1:3">
      <c r="A4" s="30" t="s">
        <v>517</v>
      </c>
      <c r="B4" s="33" t="s">
        <v>79</v>
      </c>
      <c r="C4" s="30"/>
    </row>
    <row r="5" spans="1:3">
      <c r="A5" s="29" t="s">
        <v>460</v>
      </c>
      <c r="B5" s="33" t="s">
        <v>79</v>
      </c>
      <c r="C5" s="29"/>
    </row>
    <row r="6" spans="1:3" ht="24" customHeight="1">
      <c r="A6" s="30" t="s">
        <v>456</v>
      </c>
      <c r="B6" s="33" t="s">
        <v>79</v>
      </c>
      <c r="C6" s="30"/>
    </row>
    <row r="7" spans="1:3" ht="24" customHeight="1">
      <c r="A7" s="29" t="s">
        <v>518</v>
      </c>
      <c r="B7" s="33" t="s">
        <v>79</v>
      </c>
      <c r="C7" s="29"/>
    </row>
    <row r="8" spans="1:3">
      <c r="A8" s="30" t="s">
        <v>508</v>
      </c>
      <c r="B8" s="33" t="s">
        <v>79</v>
      </c>
      <c r="C8" s="30"/>
    </row>
    <row r="9" spans="1:3" ht="24" customHeight="1">
      <c r="A9" s="29" t="s">
        <v>304</v>
      </c>
      <c r="B9" s="34" t="s">
        <v>519</v>
      </c>
      <c r="C9" s="29"/>
    </row>
    <row r="10" spans="1:3" ht="24" customHeight="1">
      <c r="A10" s="30" t="s">
        <v>464</v>
      </c>
      <c r="B10" s="33" t="s">
        <v>79</v>
      </c>
      <c r="C10" s="30"/>
    </row>
    <row r="11" spans="1:3">
      <c r="A11" s="29" t="s">
        <v>512</v>
      </c>
      <c r="B11" s="33" t="s">
        <v>79</v>
      </c>
      <c r="C11" s="29"/>
    </row>
    <row r="12" spans="1:3">
      <c r="A12" s="30" t="s">
        <v>459</v>
      </c>
      <c r="B12" s="33" t="s">
        <v>79</v>
      </c>
      <c r="C12" s="30"/>
    </row>
    <row r="13" spans="1:3">
      <c r="A13" s="29" t="s">
        <v>84</v>
      </c>
      <c r="B13" s="33" t="s">
        <v>79</v>
      </c>
      <c r="C13" s="29"/>
    </row>
    <row r="14" spans="1:3">
      <c r="A14" s="30" t="s">
        <v>493</v>
      </c>
      <c r="B14" s="33" t="s">
        <v>79</v>
      </c>
      <c r="C14" s="30"/>
    </row>
    <row r="15" spans="1:3">
      <c r="A15" s="29" t="s">
        <v>504</v>
      </c>
      <c r="B15" s="33" t="s">
        <v>79</v>
      </c>
      <c r="C15" s="29"/>
    </row>
    <row r="16" spans="1:3">
      <c r="A16" s="30" t="s">
        <v>520</v>
      </c>
      <c r="B16" s="33" t="s">
        <v>79</v>
      </c>
      <c r="C16" s="30"/>
    </row>
    <row r="17" spans="1:3">
      <c r="A17" s="29" t="s">
        <v>471</v>
      </c>
      <c r="B17" s="33" t="s">
        <v>79</v>
      </c>
      <c r="C17" s="29"/>
    </row>
    <row r="18" spans="1:3">
      <c r="A18" s="30" t="s">
        <v>489</v>
      </c>
      <c r="B18" s="33" t="s">
        <v>79</v>
      </c>
      <c r="C18" s="30"/>
    </row>
    <row r="19" spans="1:3">
      <c r="A19" s="29" t="s">
        <v>489</v>
      </c>
      <c r="B19" s="33" t="s">
        <v>79</v>
      </c>
      <c r="C19" s="29"/>
    </row>
    <row r="20" spans="1:3">
      <c r="A20" s="30" t="s">
        <v>487</v>
      </c>
      <c r="B20" s="32" t="s">
        <v>521</v>
      </c>
      <c r="C20" s="30"/>
    </row>
    <row r="21" spans="1:3" ht="24" customHeight="1">
      <c r="A21" s="29" t="s">
        <v>522</v>
      </c>
      <c r="B21" s="33" t="s">
        <v>79</v>
      </c>
      <c r="C21" s="29"/>
    </row>
    <row r="22" spans="1:3" ht="24" customHeight="1">
      <c r="A22" s="30" t="s">
        <v>450</v>
      </c>
      <c r="B22" s="33" t="s">
        <v>79</v>
      </c>
      <c r="C22" s="30"/>
    </row>
    <row r="23" spans="1:3" ht="24" customHeight="1">
      <c r="A23" s="29" t="s">
        <v>472</v>
      </c>
      <c r="B23" s="31" t="s">
        <v>523</v>
      </c>
      <c r="C23" s="29"/>
    </row>
    <row r="24" spans="1:3" ht="15.75" customHeight="1">
      <c r="A24" s="30" t="s">
        <v>284</v>
      </c>
      <c r="B24" s="32" t="s">
        <v>524</v>
      </c>
      <c r="C24" s="30"/>
    </row>
    <row r="25" spans="1:3" ht="24" customHeight="1">
      <c r="A25" s="29" t="s">
        <v>525</v>
      </c>
      <c r="B25" s="31"/>
      <c r="C25" s="29"/>
    </row>
    <row r="26" spans="1:3" ht="24" customHeight="1">
      <c r="A26" s="30" t="s">
        <v>526</v>
      </c>
      <c r="B26" s="32"/>
      <c r="C26" s="30"/>
    </row>
    <row r="27" spans="1:3" ht="15.75" customHeight="1">
      <c r="A27" s="29" t="s">
        <v>527</v>
      </c>
      <c r="B27" s="31"/>
      <c r="C27" s="29"/>
    </row>
  </sheetData>
  <hyperlinks>
    <hyperlink ref="A1" location="'📋 Dashboard'!A1" display="← Dashboard" xr:uid="{00000000-0004-0000-0F00-000000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2026-08-04T00:02:01Z</dcterms:created>
  <dcterms:modified xsi:type="dcterms:W3CDTF">2026-09-04T00:15:35Z</dcterms:modified>
  <cp:category/>
  <cp:contentStatus/>
</cp:coreProperties>
</file>